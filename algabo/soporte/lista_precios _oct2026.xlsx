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Dist.Ruby\ALGABO\"/>
    </mc:Choice>
  </mc:AlternateContent>
  <bookViews>
    <workbookView xWindow="0" yWindow="0" windowWidth="11205" windowHeight="4305"/>
  </bookViews>
  <sheets>
    <sheet name="Lista 137D" sheetId="1" r:id="rId1"/>
    <sheet name="Hoja1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27" i="1" l="1"/>
  <c r="I26" i="1"/>
  <c r="I36" i="1" l="1"/>
  <c r="I24" i="1" l="1"/>
  <c r="I57" i="1" l="1"/>
  <c r="I34" i="1" l="1"/>
  <c r="I18" i="1" l="1"/>
  <c r="H94" i="1" l="1"/>
  <c r="H93" i="1"/>
  <c r="H92" i="1"/>
  <c r="H60" i="1"/>
  <c r="H54" i="1"/>
  <c r="I54" i="1"/>
  <c r="H53" i="1"/>
  <c r="I53" i="1"/>
  <c r="H52" i="1"/>
  <c r="I52" i="1"/>
  <c r="H51" i="1"/>
  <c r="I51" i="1"/>
  <c r="H50" i="1"/>
  <c r="I50" i="1"/>
  <c r="H44" i="1"/>
  <c r="H39" i="1"/>
  <c r="H38" i="1"/>
  <c r="H37" i="1"/>
  <c r="H22" i="1"/>
  <c r="H21" i="1"/>
  <c r="H14" i="1"/>
  <c r="H13" i="1"/>
  <c r="I32" i="1" l="1"/>
  <c r="I92" i="1" l="1"/>
  <c r="I60" i="1"/>
  <c r="I44" i="1" l="1"/>
  <c r="I14" i="1" l="1"/>
  <c r="I13" i="1"/>
  <c r="I22" i="1" l="1"/>
  <c r="I21" i="1"/>
  <c r="I39" i="1" l="1"/>
  <c r="I94" i="1" l="1"/>
  <c r="I93" i="1"/>
  <c r="I38" i="1" l="1"/>
  <c r="I37" i="1"/>
  <c r="I19" i="1" l="1"/>
  <c r="H19" i="1"/>
  <c r="H109" i="1" l="1"/>
  <c r="H108" i="1"/>
  <c r="H107" i="1"/>
  <c r="H106" i="1"/>
  <c r="H105" i="1"/>
  <c r="H104" i="1"/>
  <c r="H103" i="1"/>
  <c r="H101" i="1"/>
  <c r="H100" i="1"/>
  <c r="H99" i="1"/>
  <c r="H98" i="1"/>
  <c r="H95" i="1"/>
  <c r="H91" i="1"/>
  <c r="H90" i="1"/>
  <c r="H89" i="1"/>
  <c r="H88" i="1"/>
  <c r="H87" i="1"/>
  <c r="H86" i="1"/>
  <c r="H85" i="1"/>
  <c r="H84" i="1"/>
  <c r="H82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1" i="1"/>
  <c r="H59" i="1"/>
  <c r="H58" i="1"/>
  <c r="H56" i="1"/>
  <c r="H49" i="1"/>
  <c r="H48" i="1"/>
  <c r="H47" i="1"/>
  <c r="H46" i="1"/>
  <c r="H43" i="1"/>
  <c r="H42" i="1"/>
  <c r="H41" i="1"/>
  <c r="H40" i="1"/>
  <c r="H35" i="1"/>
  <c r="H33" i="1"/>
  <c r="H31" i="1"/>
  <c r="H30" i="1"/>
  <c r="H29" i="1"/>
  <c r="H28" i="1"/>
  <c r="H25" i="1"/>
  <c r="H23" i="1"/>
  <c r="H20" i="1"/>
  <c r="H17" i="1"/>
  <c r="H16" i="1"/>
  <c r="H15" i="1"/>
  <c r="H10" i="1"/>
  <c r="H9" i="1"/>
  <c r="H8" i="1"/>
  <c r="H3" i="1"/>
  <c r="H2" i="1"/>
  <c r="I82" i="1" l="1"/>
  <c r="I66" i="1"/>
  <c r="I105" i="1"/>
  <c r="I99" i="1"/>
  <c r="I59" i="1"/>
  <c r="I33" i="1"/>
  <c r="I103" i="1"/>
  <c r="I2" i="1"/>
  <c r="I20" i="1"/>
  <c r="I89" i="1"/>
  <c r="I74" i="1"/>
  <c r="I46" i="1"/>
  <c r="I108" i="1"/>
  <c r="I58" i="1"/>
  <c r="I17" i="1"/>
  <c r="I31" i="1"/>
  <c r="I41" i="1"/>
  <c r="I100" i="1"/>
  <c r="I35" i="1"/>
  <c r="I16" i="1"/>
  <c r="I88" i="1"/>
  <c r="I49" i="1"/>
  <c r="I67" i="1"/>
  <c r="I61" i="1"/>
  <c r="I85" i="1"/>
  <c r="I42" i="1"/>
  <c r="I65" i="1"/>
  <c r="I30" i="1"/>
  <c r="I87" i="1"/>
  <c r="I23" i="1"/>
  <c r="I101" i="1"/>
  <c r="I9" i="1"/>
  <c r="I43" i="1"/>
  <c r="I98" i="1"/>
  <c r="I8" i="1"/>
  <c r="I69" i="1"/>
  <c r="I75" i="1"/>
  <c r="I70" i="1"/>
  <c r="I90" i="1"/>
  <c r="I48" i="1"/>
  <c r="I73" i="1"/>
  <c r="I10" i="1"/>
  <c r="I95" i="1"/>
  <c r="I56" i="1"/>
  <c r="I3" i="1"/>
  <c r="I68" i="1"/>
  <c r="I15" i="1"/>
  <c r="I76" i="1"/>
  <c r="I109" i="1"/>
  <c r="I107" i="1"/>
  <c r="I64" i="1"/>
  <c r="I77" i="1"/>
  <c r="I86" i="1"/>
  <c r="I104" i="1"/>
  <c r="I84" i="1"/>
  <c r="I40" i="1"/>
  <c r="I106" i="1"/>
  <c r="I63" i="1"/>
  <c r="I72" i="1"/>
  <c r="I25" i="1"/>
  <c r="I91" i="1"/>
  <c r="I29" i="1"/>
  <c r="I47" i="1"/>
  <c r="I28" i="1"/>
  <c r="I71" i="1"/>
  <c r="J1" i="1" l="1"/>
</calcChain>
</file>

<file path=xl/sharedStrings.xml><?xml version="1.0" encoding="utf-8"?>
<sst xmlns="http://schemas.openxmlformats.org/spreadsheetml/2006/main" count="647" uniqueCount="385">
  <si>
    <t>UxB</t>
  </si>
  <si>
    <t>$ unidad</t>
  </si>
  <si>
    <t>Bultos</t>
  </si>
  <si>
    <t>Valorizacion</t>
  </si>
  <si>
    <t>ALGABO BABY &amp; KIDS</t>
  </si>
  <si>
    <t>ALGABO KIDS acondicionador 350 ml sandia dulce</t>
  </si>
  <si>
    <t>SALLY - SLIME FURY</t>
  </si>
  <si>
    <t>UNICORNIO Espuma de Baño SALLY 3D 350 ml</t>
  </si>
  <si>
    <t>SALLY UNICONRIO colonia 50 ml</t>
  </si>
  <si>
    <t>SALLY UNICORNIO set shampoo 200 ml + splash 125 ml</t>
  </si>
  <si>
    <t>ALGABO MEN after shave locion revolution 120 ml</t>
  </si>
  <si>
    <t>ALGABO MEN crema de afeitar 150 gr C/Estuche</t>
  </si>
  <si>
    <t>ALGABO GELES CAPILARES</t>
  </si>
  <si>
    <t>GELES CAPILARES</t>
  </si>
  <si>
    <t>ALGABO gel capilar frasco 500 g 4 fijacion fuerte</t>
  </si>
  <si>
    <t>A L G A B O   T A L C O S   P E D I C O S  /  D E S O D O R A N T E  Y  P E R F U M A D O S</t>
  </si>
  <si>
    <t>TALCOS PEDICOS, DESODORANTES Y PERFUMADOS</t>
  </si>
  <si>
    <t>ALGABO polvo desodorante p/pies doy pack 200 g</t>
  </si>
  <si>
    <t>ALGABO JABONES LIQUIDOS</t>
  </si>
  <si>
    <t>ALGABO SANITIZANTES &amp; ALCOHOL EN GEL</t>
  </si>
  <si>
    <t>CUIDADO DE MANOS</t>
  </si>
  <si>
    <t>ALGABO crema manos y uñas 90 ml</t>
  </si>
  <si>
    <t>ALGABO NATURAL / CONTROL</t>
  </si>
  <si>
    <t>ALGABO CONTROL pompones de algodón 50 uns</t>
  </si>
  <si>
    <t>ALGABO BODY CREAM</t>
  </si>
  <si>
    <t>ALGABO COLONIAS</t>
  </si>
  <si>
    <t>ALGABO PERFUMANTE DE TELAS</t>
  </si>
  <si>
    <t>HELLO KITTY</t>
  </si>
  <si>
    <t>HELLO KITTY set body splashj 125 + shampoo 200</t>
  </si>
  <si>
    <t>FROZEN II</t>
  </si>
  <si>
    <t>FROZEN body splash Elsa 125 ml</t>
  </si>
  <si>
    <t>FROZEN set body splash 125 + shampoo 200</t>
  </si>
  <si>
    <t>STAR WARS</t>
  </si>
  <si>
    <t>AVENGERS &amp; SPIDERMAN - MARVEL</t>
  </si>
  <si>
    <t>AVENGERS</t>
  </si>
  <si>
    <t>AVENGERS colonia Spiderman c/estuche 125 ml</t>
  </si>
  <si>
    <t>ALGABO KIDS champu piojos x 500</t>
  </si>
  <si>
    <t>ALGABO KIDS acondicionador piojos x 500</t>
  </si>
  <si>
    <t>SALLY - ZOMBIE</t>
  </si>
  <si>
    <t>STAR WARS b splash spray c/est 125ml BABY YODA</t>
  </si>
  <si>
    <t xml:space="preserve">ALGABO KIDS spray piojos </t>
  </si>
  <si>
    <t>SALLY UNICORNIO splash x 125 ml</t>
  </si>
  <si>
    <t>AVENGERS Shampoo 2D SURTIDO</t>
  </si>
  <si>
    <t>VAIS repelente crema plus pomo 200 g</t>
  </si>
  <si>
    <t xml:space="preserve">ALGABO MEN </t>
  </si>
  <si>
    <t>VAIS Repelente spray x 200 ml</t>
  </si>
  <si>
    <t>VAIS LIMPIEZA</t>
  </si>
  <si>
    <t>VAIS REPLENTES</t>
  </si>
  <si>
    <t>TURTLES</t>
  </si>
  <si>
    <t>PAW PATROL</t>
  </si>
  <si>
    <t>VAIS repelente aerosol x 140 ml</t>
  </si>
  <si>
    <t>VAIS repelente aerosol EXTREME x 140 ml</t>
  </si>
  <si>
    <t>VAIS repelente spray EXTREME x 200 ml</t>
  </si>
  <si>
    <t>$unidad</t>
  </si>
  <si>
    <t>VAIS repelente baby pomo x 100 g</t>
  </si>
  <si>
    <t xml:space="preserve">EL 10 Set body splash + BT </t>
  </si>
  <si>
    <t xml:space="preserve">BABY NATURAL toallitas wipes BIODEGRADABLES x 48  </t>
  </si>
  <si>
    <t>EL 10 Jabon body splash x 125</t>
  </si>
  <si>
    <t xml:space="preserve">EL 10 Jabon liquido BT </t>
  </si>
  <si>
    <t xml:space="preserve">ALGABO Spray fijador fuerte x 180  </t>
  </si>
  <si>
    <t xml:space="preserve">ALGABO Spray fijador extra fuerte x 180 </t>
  </si>
  <si>
    <t xml:space="preserve">ALGABO Spray fijador fuerte x 390  </t>
  </si>
  <si>
    <t xml:space="preserve">ALGABO Spray fijador extra fuerte x 390 </t>
  </si>
  <si>
    <t xml:space="preserve">ALGABO CARE esponja flor </t>
  </si>
  <si>
    <t>ALGABO CARE esponja exfoliante</t>
  </si>
  <si>
    <t xml:space="preserve">ALGABO CARE esponja manopla </t>
  </si>
  <si>
    <t>ALGABO CARE esponja vegetal</t>
  </si>
  <si>
    <t>ALGABO CONTROL hisopos cajita PAPEL x 100 u</t>
  </si>
  <si>
    <t xml:space="preserve">SET MUJER crema x 90 + body splash x 125 </t>
  </si>
  <si>
    <t xml:space="preserve">VAIS repelente spray kids x 200 ml </t>
  </si>
  <si>
    <t xml:space="preserve">VAIS kids repelente pomo x 100 gr </t>
  </si>
  <si>
    <t xml:space="preserve">VAIS Detergente lavavajillas DP x 800 </t>
  </si>
  <si>
    <t xml:space="preserve">PAW PATROL Body Splash x 125 </t>
  </si>
  <si>
    <t>PAW PATROL Chase sh 3 en 1 3D 300</t>
  </si>
  <si>
    <t xml:space="preserve">PAW PATROL Skye sh 3 en 1 3D 300 </t>
  </si>
  <si>
    <t>STAR WARS Jabon Liq BT x 300</t>
  </si>
  <si>
    <t>AVENGERS SPIDERMAN set body splash 125 + shampoo 200</t>
  </si>
  <si>
    <t>ASANA Jabon Intimo x 250 ml</t>
  </si>
  <si>
    <t>codigo</t>
  </si>
  <si>
    <t>titulo/familia</t>
  </si>
  <si>
    <t>Descripción/Volumen</t>
  </si>
  <si>
    <t>Precio</t>
  </si>
  <si>
    <t>imagen</t>
  </si>
  <si>
    <t xml:space="preserve"> 200 ml dulces mimos</t>
  </si>
  <si>
    <t>200 ml suave brisa</t>
  </si>
  <si>
    <t xml:space="preserve"> BABY COLONIA</t>
  </si>
  <si>
    <t xml:space="preserve"> BABY Algodón precortado x 100</t>
  </si>
  <si>
    <t>BABY PAÑOS ALGODÓN</t>
  </si>
  <si>
    <t xml:space="preserve"> 40 u</t>
  </si>
  <si>
    <t xml:space="preserve"> 50 u</t>
  </si>
  <si>
    <t>200 ml manzanilla</t>
  </si>
  <si>
    <t>Shampoo</t>
  </si>
  <si>
    <t xml:space="preserve"> 444 ml extra suave</t>
  </si>
  <si>
    <t xml:space="preserve"> 444 ml camomila</t>
  </si>
  <si>
    <t>Acondicionador</t>
  </si>
  <si>
    <t xml:space="preserve"> 755 ml extra suave</t>
  </si>
  <si>
    <t xml:space="preserve"> 755 ml camomila</t>
  </si>
  <si>
    <t>200 ml extra suave</t>
  </si>
  <si>
    <t>Aceite para bebe</t>
  </si>
  <si>
    <t>200 ml</t>
  </si>
  <si>
    <t>355 ml</t>
  </si>
  <si>
    <t>Fecula</t>
  </si>
  <si>
    <t>Doy pack 200 g</t>
  </si>
  <si>
    <t>Talquera 200 g</t>
  </si>
  <si>
    <t>Oleo Calcareo</t>
  </si>
  <si>
    <t xml:space="preserve"> x 500</t>
  </si>
  <si>
    <t xml:space="preserve"> Doy Pack x 500 </t>
  </si>
  <si>
    <t>Jabón Líquido</t>
  </si>
  <si>
    <t>200 ml C/Válvula</t>
  </si>
  <si>
    <t xml:space="preserve">200 ml DP </t>
  </si>
  <si>
    <t>Valija col x 125 + shampoo x 200</t>
  </si>
  <si>
    <t xml:space="preserve">Cabellos Claros x 444 ml </t>
  </si>
  <si>
    <t xml:space="preserve">Extra Suave x 444 ml </t>
  </si>
  <si>
    <t>Pants Paw Patrol</t>
  </si>
  <si>
    <t xml:space="preserve"> XG  22 unid</t>
  </si>
  <si>
    <t xml:space="preserve"> XXG Paw 20 unid</t>
  </si>
  <si>
    <t>Toallitas Wipes</t>
  </si>
  <si>
    <t>20 unid</t>
  </si>
  <si>
    <t xml:space="preserve"> 80 unid</t>
  </si>
  <si>
    <t xml:space="preserve"> 100 c/tapa</t>
  </si>
  <si>
    <t>Baby Hisopos</t>
  </si>
  <si>
    <t>caja x 30 unidades</t>
  </si>
  <si>
    <t xml:space="preserve"> PAPEL x 24 u </t>
  </si>
  <si>
    <t>Baby Jabón</t>
  </si>
  <si>
    <t xml:space="preserve"> pastilla 80g c/estuche</t>
  </si>
  <si>
    <t xml:space="preserve">Glicerina x 80 </t>
  </si>
  <si>
    <t>Algabo Kids Piojos</t>
  </si>
  <si>
    <t>Algabo Kids Champu</t>
  </si>
  <si>
    <t>350 ml sandia dulce</t>
  </si>
  <si>
    <t>350 ml melocoton</t>
  </si>
  <si>
    <t>350 ml bubble gum</t>
  </si>
  <si>
    <t>El 10</t>
  </si>
  <si>
    <t>Jabón Líquido Sally Unicornio 60 ml</t>
  </si>
  <si>
    <t>ZOMBIES</t>
  </si>
  <si>
    <t xml:space="preserve"> colonia x 125ml</t>
  </si>
  <si>
    <t>shampoo 2 en 1 AUTITO</t>
  </si>
  <si>
    <t>set x 2 u</t>
  </si>
  <si>
    <t xml:space="preserve"> Jabon Liq BT x 300</t>
  </si>
  <si>
    <t>ALGABO MEN desodorante roll on x 60 ML</t>
  </si>
  <si>
    <t>ALGABO MEN Espuma de afeitar</t>
  </si>
  <si>
    <t xml:space="preserve"> 415 ml</t>
  </si>
  <si>
    <t xml:space="preserve"> 200 ml</t>
  </si>
  <si>
    <t>ALGABO MEN crema de afeitar Pomo 177 grs</t>
  </si>
  <si>
    <t>Algabo Gel Capilar Gota 150 g.</t>
  </si>
  <si>
    <t>Efecto  humedo 2 amarillo</t>
  </si>
  <si>
    <t>Brillo &amp; control 3 incol</t>
  </si>
  <si>
    <t>Fijacion fuerte 4 azul</t>
  </si>
  <si>
    <t>Algabo Gel Capilar Pomo</t>
  </si>
  <si>
    <t>150 g ef. humedo 2 amarillo</t>
  </si>
  <si>
    <t>150 g brillo &amp; control 3 incol</t>
  </si>
  <si>
    <t>200 g brillo &amp; control 3 incol</t>
  </si>
  <si>
    <t>200 g ef. humedo 2 amarillo</t>
  </si>
  <si>
    <t>150 g fijacion fuerte 4 azul</t>
  </si>
  <si>
    <t>200 g fijacion fuerte 4 azul</t>
  </si>
  <si>
    <t>Algabo Gel Capilar Pote</t>
  </si>
  <si>
    <t>350 g 2 efecto humedo</t>
  </si>
  <si>
    <t>350 g 3 extra brillo</t>
  </si>
  <si>
    <t>350 g 4 fijacion fuerte</t>
  </si>
  <si>
    <t>Algabo Gel Capilar 475 g.</t>
  </si>
  <si>
    <t>Ef. humedo 2 amarillo</t>
  </si>
  <si>
    <t>Brillo &amp; control 3 incolor</t>
  </si>
  <si>
    <t>Spay Fijador</t>
  </si>
  <si>
    <t>Polvo desodorante p/pies talquera</t>
  </si>
  <si>
    <t>200 g</t>
  </si>
  <si>
    <t>Talco pedico ANTIBACTERIAL</t>
  </si>
  <si>
    <t>x 100 g.</t>
  </si>
  <si>
    <t>x 200 g.</t>
  </si>
  <si>
    <t>Jabón Liquido 300ml c/valv</t>
  </si>
  <si>
    <t>Green tea</t>
  </si>
  <si>
    <t>Citrus splash</t>
  </si>
  <si>
    <t>Floral rain</t>
  </si>
  <si>
    <t>Frutos bosque</t>
  </si>
  <si>
    <t>Coco y Vainilla</t>
  </si>
  <si>
    <t>Jabón Liquido 300ml Doy Pack</t>
  </si>
  <si>
    <t>Jabonliquido Repuesto 220 ml</t>
  </si>
  <si>
    <t xml:space="preserve">Coco y miel </t>
  </si>
  <si>
    <t>Karité y Aguacate</t>
  </si>
  <si>
    <t>Jabón Líquido 300 ml c/valv</t>
  </si>
  <si>
    <t>Cream</t>
  </si>
  <si>
    <t>Flower mix</t>
  </si>
  <si>
    <t>Jabón Líquido 300 ml Doy Pack</t>
  </si>
  <si>
    <t>Flower Mix</t>
  </si>
  <si>
    <t>Jabón de Tocador 90g</t>
  </si>
  <si>
    <t>Jabón de Tocador x 3u 90g</t>
  </si>
  <si>
    <t>Jabón de Glicerina x 90g</t>
  </si>
  <si>
    <t>Floral Rain</t>
  </si>
  <si>
    <t>GO TO BE body</t>
  </si>
  <si>
    <t>Cream Chill not borling x 240</t>
  </si>
  <si>
    <t>Cream Glow in Progress x 240</t>
  </si>
  <si>
    <t>The Plot Twist x 240</t>
  </si>
  <si>
    <t>Cream Iluminadora x 240</t>
  </si>
  <si>
    <t>Cream Chill not boring x 340</t>
  </si>
  <si>
    <t xml:space="preserve">Cream Glow in progress x 340 </t>
  </si>
  <si>
    <t xml:space="preserve">Cream The plot twist x 340 </t>
  </si>
  <si>
    <t xml:space="preserve">Mist The plot twust x 250 </t>
  </si>
  <si>
    <t>GO TO BE body x3 u</t>
  </si>
  <si>
    <t>Chill not borling</t>
  </si>
  <si>
    <t>Glow in progress</t>
  </si>
  <si>
    <t>The Plot Twist</t>
  </si>
  <si>
    <t>POLO EAU DE DESODORANTE FEMENINO X 127</t>
  </si>
  <si>
    <t>Elixir</t>
  </si>
  <si>
    <t>Ocean Woodx</t>
  </si>
  <si>
    <t>Velvet</t>
  </si>
  <si>
    <t>POLO Perfume Men x 100</t>
  </si>
  <si>
    <t>POLO SET (Fem) PERFUM 50 + DESOD VELVET</t>
  </si>
  <si>
    <t>POLO SET (Mem) PERFUM 50 + DESOD ELIXIR</t>
  </si>
  <si>
    <t>Alcohol en gel ULTRA C/VAL</t>
  </si>
  <si>
    <t>250 ml</t>
  </si>
  <si>
    <t>750 ml</t>
  </si>
  <si>
    <t>Alcohol spray c/glic ULTRA x 125</t>
  </si>
  <si>
    <t>Quitaesmalte 50 ml</t>
  </si>
  <si>
    <t>C/silic Fortalecedor</t>
  </si>
  <si>
    <t>Humectante</t>
  </si>
  <si>
    <t>C/keratina</t>
  </si>
  <si>
    <t>Quitaesmalte 100 ml</t>
  </si>
  <si>
    <t xml:space="preserve">Profesional Xtreme </t>
  </si>
  <si>
    <t>REMOVEDOR GEL UV</t>
  </si>
  <si>
    <t>Shampoo ECO-PACK x 930</t>
  </si>
  <si>
    <t>Brillo</t>
  </si>
  <si>
    <t>Hidratacion</t>
  </si>
  <si>
    <t>Suavidad</t>
  </si>
  <si>
    <t>Acond ECO-PACK x 930</t>
  </si>
  <si>
    <t>Shampoo BOTELLA x 930</t>
  </si>
  <si>
    <t>Aguacate y argan</t>
  </si>
  <si>
    <t>Manz y Magn</t>
  </si>
  <si>
    <t>Coco y Leche</t>
  </si>
  <si>
    <t>Acond BOTELLA x 930</t>
  </si>
  <si>
    <t>Champu Doy Pack 300 ml</t>
  </si>
  <si>
    <t>Aguacate &amp; Argan</t>
  </si>
  <si>
    <t>Coco &amp; leche</t>
  </si>
  <si>
    <t>Manzanilla y Magnolia</t>
  </si>
  <si>
    <t>Acond Doy Pack 300 ml</t>
  </si>
  <si>
    <t>0% Shampoo x 750 ml</t>
  </si>
  <si>
    <t>Argan</t>
  </si>
  <si>
    <t>Acai &amp; Romero</t>
  </si>
  <si>
    <t>Avocado y Argan</t>
  </si>
  <si>
    <t>Oliva &amp; argan</t>
  </si>
  <si>
    <t>0% Shampoo Doy Pack x 300</t>
  </si>
  <si>
    <t>0% Acond Doy Pack x 300</t>
  </si>
  <si>
    <t>Acai y Romero</t>
  </si>
  <si>
    <t>Oliva y Argan</t>
  </si>
  <si>
    <t>Baño Natural – Barro Vegetal x 350 g</t>
  </si>
  <si>
    <t>Natural Argan</t>
  </si>
  <si>
    <t>Barro Vegetal</t>
  </si>
  <si>
    <t>Baño Natural – Barro Vegetal Pomo x 200 g</t>
  </si>
  <si>
    <t>Baño Natural Argan</t>
  </si>
  <si>
    <t>Control Crema x 300ml</t>
  </si>
  <si>
    <t>Peinar Keratina</t>
  </si>
  <si>
    <t xml:space="preserve">Peinar Aceite de Argan </t>
  </si>
  <si>
    <t>Peinar Cabello Rizado</t>
  </si>
  <si>
    <t>Enjuegue Bucal Artic Menthol</t>
  </si>
  <si>
    <t>500 ml</t>
  </si>
  <si>
    <t>Enjuague Bucal S/Alcohol Cool Mint</t>
  </si>
  <si>
    <t>Enjuegue Bucal Antibacterial</t>
  </si>
  <si>
    <t>Hilo Dental C/Mango Mentol</t>
  </si>
  <si>
    <t>X 25 unid</t>
  </si>
  <si>
    <t>X 50 unid</t>
  </si>
  <si>
    <t>Agua Micelar c/valvula spray 120 ml</t>
  </si>
  <si>
    <t>Agua Micelar</t>
  </si>
  <si>
    <t>400 ml</t>
  </si>
  <si>
    <t>Agua Micelar Glow</t>
  </si>
  <si>
    <t>X 200</t>
  </si>
  <si>
    <t>X 400</t>
  </si>
  <si>
    <t>Agua Micelar toallitas wipes 25 flow pack</t>
  </si>
  <si>
    <t>ALGABO CONTROL Discos Desmaquillantes 80 uns</t>
  </si>
  <si>
    <t>ALGABO CONTROL Toallitas Desmaquillantes 25 uns</t>
  </si>
  <si>
    <t>Algodón PREMIUM</t>
  </si>
  <si>
    <t>X 75 g</t>
  </si>
  <si>
    <t>X 150 g</t>
  </si>
  <si>
    <t>Hisopos</t>
  </si>
  <si>
    <t>X 100 unid (Tubo)</t>
  </si>
  <si>
    <t>X 125 unid (Tubo)</t>
  </si>
  <si>
    <t>X 150 unid (Caja)</t>
  </si>
  <si>
    <t>Body Cream – pomo x 200 ml</t>
  </si>
  <si>
    <t>Nutritiva Miel y Almendras</t>
  </si>
  <si>
    <t>Hidratante Avena y Karite</t>
  </si>
  <si>
    <t>Reparadora Aloe y Manzanilla</t>
  </si>
  <si>
    <t>Crema Facial x 100</t>
  </si>
  <si>
    <t>Antiage</t>
  </si>
  <si>
    <t>Crema 400 ml C/Valv</t>
  </si>
  <si>
    <t>Aloe y Manzanilla</t>
  </si>
  <si>
    <t>Avena y Karite</t>
  </si>
  <si>
    <t>Miel y Almendras</t>
  </si>
  <si>
    <t>Colonia 500 ml</t>
  </si>
  <si>
    <t>Ambre</t>
  </si>
  <si>
    <t>Inglesa</t>
  </si>
  <si>
    <t>Lavanda</t>
  </si>
  <si>
    <t>Colonia x 400 ml</t>
  </si>
  <si>
    <t>Lily Garden</t>
  </si>
  <si>
    <t>Blush Petals</t>
  </si>
  <si>
    <t>Roll on x 60</t>
  </si>
  <si>
    <t>Fresh &amp; Beauty</t>
  </si>
  <si>
    <t>Pure &amp; Soft</t>
  </si>
  <si>
    <t>Perfume p/Telas c/Valv</t>
  </si>
  <si>
    <t>Calida Primavera 250 ml</t>
  </si>
  <si>
    <t>Suave Brisa 250 ml</t>
  </si>
  <si>
    <t>Calida Primavera 500 ml</t>
  </si>
  <si>
    <t>Suave Brisa 500 ml</t>
  </si>
  <si>
    <t>Perfume p/Telas Doy Pack x 500 ml</t>
  </si>
  <si>
    <t>VAIS Repelente Spray</t>
  </si>
  <si>
    <t>X 120 ml</t>
  </si>
  <si>
    <t>X 60 ml</t>
  </si>
  <si>
    <t>Vais Limpiador liq x 900 ml</t>
  </si>
  <si>
    <t>Frescura Primaveral</t>
  </si>
  <si>
    <t>Pompones de Algodón</t>
  </si>
  <si>
    <t>Brisas de Lavanda</t>
  </si>
  <si>
    <t>Exposión Cítrica</t>
  </si>
  <si>
    <t>Vais Apresto</t>
  </si>
  <si>
    <t>Doy Pack x 500</t>
  </si>
  <si>
    <t>Gatillo x 500</t>
  </si>
  <si>
    <t>Vais Antigrasa</t>
  </si>
  <si>
    <t>Doy Pack x 900</t>
  </si>
  <si>
    <t>VAIS LIMPIADOR BAÑO</t>
  </si>
  <si>
    <t>VAIS LIMPIAVIDRIOS</t>
  </si>
  <si>
    <t>HELLO KITTY Body Splash125 ml</t>
  </si>
  <si>
    <t>DULZURA</t>
  </si>
  <si>
    <t>ALEGRIA</t>
  </si>
  <si>
    <t>AVENGERS Colonia 125 ml</t>
  </si>
  <si>
    <t>Capitan America</t>
  </si>
  <si>
    <t>Hulk</t>
  </si>
  <si>
    <t>Iron Man</t>
  </si>
  <si>
    <t>AVENGERS Jabon Liq Botella x 300</t>
  </si>
  <si>
    <t>SPIDERMAN</t>
  </si>
  <si>
    <t>Greem Wood – Perro &amp; Gato</t>
  </si>
  <si>
    <t>Shampoo x 500</t>
  </si>
  <si>
    <t>Acondicionador x 500</t>
  </si>
  <si>
    <t>ASANA Copa Menstrual</t>
  </si>
  <si>
    <t>JABON EN PASTILLA</t>
  </si>
  <si>
    <t>Jabón de Glicerina x 3u 90g</t>
  </si>
  <si>
    <t xml:space="preserve">Mist Chill not borning x 250 </t>
  </si>
  <si>
    <t xml:space="preserve">Mist Glow in progress x 250 </t>
  </si>
  <si>
    <t>POLO BUCKINGHAM</t>
  </si>
  <si>
    <t>POLO Perfume fem x 100</t>
  </si>
  <si>
    <t>75 ml</t>
  </si>
  <si>
    <t>0% Acond x 750 ml</t>
  </si>
  <si>
    <t xml:space="preserve">Spray bucal x 60 ml ANTIBACTERIAL </t>
  </si>
  <si>
    <t xml:space="preserve">ALGABO CARE esponja guante </t>
  </si>
  <si>
    <t xml:space="preserve">ALGABO CARE esponja espuma </t>
  </si>
  <si>
    <t xml:space="preserve">ALGABO CONTROL hisopos tubo PAPEL x 100 u </t>
  </si>
  <si>
    <t xml:space="preserve">VAIS Jabon liquido baja espuma DP x 800 </t>
  </si>
  <si>
    <t xml:space="preserve">PAW PATROL CHASE Set Sh + Esponja </t>
  </si>
  <si>
    <t xml:space="preserve">PAW PATROL SKYE Set Sh + Esponja </t>
  </si>
  <si>
    <t xml:space="preserve">PAW PATROL Set body + sh 200 </t>
  </si>
  <si>
    <t xml:space="preserve">PAW PATROL Jabon liq BT x 300 </t>
  </si>
  <si>
    <t xml:space="preserve">TORTUGAS NINJAS Jabon Liq BT X 300 </t>
  </si>
  <si>
    <t xml:space="preserve">HELLO KITTY Jabon Liq BT x 300 </t>
  </si>
  <si>
    <t xml:space="preserve">BABY YODA jabopn liquido x 500 3D </t>
  </si>
  <si>
    <t xml:space="preserve">SPIDERMAN Shampoo 2D AUTITO x 450 </t>
  </si>
  <si>
    <t>S (2) C/POTE</t>
  </si>
  <si>
    <t>L (3) C/POTE</t>
  </si>
  <si>
    <t xml:space="preserve">L (3) C/ESTUCHE </t>
  </si>
  <si>
    <t xml:space="preserve">S (2) C/ESTUCHE </t>
  </si>
  <si>
    <t>Talco Perfumado Talquera 250 g</t>
  </si>
  <si>
    <t>Violets</t>
  </si>
  <si>
    <t>Floral</t>
  </si>
  <si>
    <t>Talco Perfumado Bolsita Floral</t>
  </si>
  <si>
    <t>400 g</t>
  </si>
  <si>
    <t>Natural Polvo de Fecula</t>
  </si>
  <si>
    <t>Talquera 250 g</t>
  </si>
  <si>
    <t>Doy Pack 250 g</t>
  </si>
  <si>
    <t>ALGABO MEN Desodorante en polvo 120g</t>
  </si>
  <si>
    <t>Desodorante en polvo Suave (Rosa)</t>
  </si>
  <si>
    <t>180 g</t>
  </si>
  <si>
    <t>120 g</t>
  </si>
  <si>
    <t>Desodorante en polvo Clasico (Celeste)</t>
  </si>
  <si>
    <t>Jabon Liquido P/manos Antibacterial</t>
  </si>
  <si>
    <t xml:space="preserve"> 300 ml doy pack</t>
  </si>
  <si>
    <t xml:space="preserve"> 300 ml c/valv</t>
  </si>
  <si>
    <t xml:space="preserve"> 60 g (Celeste)</t>
  </si>
  <si>
    <t>60 g (Rosa)</t>
  </si>
  <si>
    <t>100 g (Celeste(</t>
  </si>
  <si>
    <t>100 g (Rosa)</t>
  </si>
  <si>
    <t>200 g (Celesta)</t>
  </si>
  <si>
    <t>Desod Aerosol 153 ml</t>
  </si>
  <si>
    <t>Antitranspirante para Pies</t>
  </si>
  <si>
    <t>P/Calzado atte para pies</t>
  </si>
  <si>
    <t xml:space="preserve">FRESH ANTIB 153 ml  </t>
  </si>
  <si>
    <t>200 g (Repuesto)</t>
  </si>
  <si>
    <t>Vloom Aura</t>
  </si>
  <si>
    <t>POLO EAU DE DESOD MASC X 127</t>
  </si>
  <si>
    <t>Bloom Aura</t>
  </si>
  <si>
    <t>Alcohol en Gel ULTRA Pocket 60 ml</t>
  </si>
  <si>
    <t xml:space="preserve">Alcohol p/superficies ULTRA 70 Bidon x 4 Litros </t>
  </si>
  <si>
    <t>ALGABO Quitaesmalte express 75 ml c/keratina</t>
  </si>
  <si>
    <t>ALGABO Quitaesmalte c/valvula spray 120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</si>
</sst>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8" formatCode="&quot;$&quot;\ #,##0.00;[Red]\-&quot;$&quot;\ #,##0.00"/>
    <numFmt numFmtId="164" formatCode="_ [$€-2]\ * #,##0.00_ ;_ [$€-2]\ * \-#,##0.00_ ;_ [$€-2]\ * &quot;-&quot;??_ "/>
    <numFmt numFmtId="165" formatCode="[$$]#,##0"/>
    <numFmt numFmtId="166" formatCode="_ &quot;$&quot;\ * #,##0_ ;_ &quot;$&quot;\ * \-#,##0_ ;_ &quot;$&quot;\ * &quot;-&quot;??_ ;_ @_ "/>
    <numFmt numFmtId="167" formatCode="###0"/>
    <numFmt numFmtId="168" formatCode="&quot;$&quot;#,##0.00"/>
    <numFmt numFmtId="169" formatCode="[$$]#,##0.00"/>
    <numFmt numFmtId="170" formatCode="0_ ;\-0\ "/>
  </numFmts>
  <fonts count="19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FFFFFF"/>
      <name val="Arial Black"/>
    </font>
    <font>
      <b/>
      <sz val="10"/>
      <color rgb="FFFFFFFF"/>
      <name val="Arial Black"/>
    </font>
    <font>
      <b/>
      <sz val="10"/>
      <color rgb="FF000000"/>
      <name val="Arial"/>
    </font>
    <font>
      <b/>
      <sz val="8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2A1C7"/>
        <bgColor rgb="FFB2A1C7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CC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9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indexed="64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</borders>
  <cellStyleXfs count="1">
    <xf numFmtId="164" fontId="0" fillId="0" borderId="0"/>
  </cellStyleXfs>
  <cellXfs count="258">
    <xf numFmtId="164" fontId="0" fillId="0" borderId="0" xfId="0" applyNumberFormat="1" applyFont="1" applyAlignment="1"/>
    <xf numFmtId="0" fontId="6" fillId="2" borderId="4" xfId="0" applyNumberFormat="1" applyFont="1" applyFill="1" applyBorder="1" applyAlignment="1">
      <alignment vertical="center"/>
    </xf>
    <xf numFmtId="0" fontId="9" fillId="3" borderId="9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vertical="center"/>
    </xf>
    <xf numFmtId="168" fontId="6" fillId="2" borderId="4" xfId="0" applyNumberFormat="1" applyFont="1" applyFill="1" applyBorder="1" applyAlignment="1">
      <alignment vertical="center"/>
    </xf>
    <xf numFmtId="169" fontId="5" fillId="2" borderId="4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Alignment="1"/>
    <xf numFmtId="164" fontId="0" fillId="0" borderId="0" xfId="0" applyNumberFormat="1" applyFont="1" applyAlignment="1"/>
    <xf numFmtId="164" fontId="0" fillId="0" borderId="0" xfId="0" applyNumberFormat="1" applyFont="1" applyAlignment="1"/>
    <xf numFmtId="167" fontId="7" fillId="2" borderId="39" xfId="0" applyNumberFormat="1" applyFont="1" applyFill="1" applyBorder="1" applyAlignment="1">
      <alignment vertical="center"/>
    </xf>
    <xf numFmtId="164" fontId="0" fillId="0" borderId="0" xfId="0" applyNumberFormat="1" applyFont="1" applyAlignment="1"/>
    <xf numFmtId="0" fontId="1" fillId="5" borderId="30" xfId="0" applyNumberFormat="1" applyFont="1" applyFill="1" applyBorder="1" applyAlignment="1">
      <alignment horizontal="center" vertical="center" wrapText="1"/>
    </xf>
    <xf numFmtId="167" fontId="1" fillId="5" borderId="18" xfId="0" applyNumberFormat="1" applyFont="1" applyFill="1" applyBorder="1" applyAlignment="1">
      <alignment horizontal="center" vertical="center" wrapText="1"/>
    </xf>
    <xf numFmtId="0" fontId="1" fillId="5" borderId="36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Alignment="1"/>
    <xf numFmtId="164" fontId="0" fillId="0" borderId="0" xfId="0" applyNumberFormat="1" applyFont="1" applyAlignment="1"/>
    <xf numFmtId="164" fontId="0" fillId="0" borderId="0" xfId="0" applyNumberFormat="1" applyFont="1" applyAlignment="1"/>
    <xf numFmtId="164" fontId="0" fillId="0" borderId="0" xfId="0" applyNumberFormat="1" applyFont="1" applyAlignment="1"/>
    <xf numFmtId="167" fontId="1" fillId="5" borderId="15" xfId="0" applyNumberFormat="1" applyFont="1" applyFill="1" applyBorder="1" applyAlignment="1">
      <alignment horizontal="center" vertical="center" wrapText="1"/>
    </xf>
    <xf numFmtId="0" fontId="1" fillId="5" borderId="28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Alignment="1"/>
    <xf numFmtId="0" fontId="1" fillId="5" borderId="2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Alignment="1"/>
    <xf numFmtId="0" fontId="1" fillId="5" borderId="35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Alignment="1"/>
    <xf numFmtId="0" fontId="1" fillId="5" borderId="19" xfId="0" applyNumberFormat="1" applyFont="1" applyFill="1" applyBorder="1" applyAlignment="1">
      <alignment horizontal="center" vertical="center" wrapText="1"/>
    </xf>
    <xf numFmtId="0" fontId="1" fillId="5" borderId="0" xfId="0" applyNumberFormat="1" applyFont="1" applyFill="1" applyAlignment="1">
      <alignment horizontal="center" vertical="center" wrapText="1"/>
    </xf>
    <xf numFmtId="164" fontId="0" fillId="0" borderId="0" xfId="0" applyNumberFormat="1" applyFont="1" applyAlignment="1"/>
    <xf numFmtId="164" fontId="0" fillId="0" borderId="0" xfId="0" applyNumberFormat="1" applyFont="1" applyAlignment="1"/>
    <xf numFmtId="0" fontId="3" fillId="0" borderId="34" xfId="0" applyNumberFormat="1" applyFont="1" applyBorder="1"/>
    <xf numFmtId="167" fontId="1" fillId="5" borderId="17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Alignment="1"/>
    <xf numFmtId="167" fontId="1" fillId="5" borderId="21" xfId="0" applyNumberFormat="1" applyFont="1" applyFill="1" applyBorder="1" applyAlignment="1">
      <alignment horizontal="center" vertical="center" wrapText="1"/>
    </xf>
    <xf numFmtId="167" fontId="1" fillId="5" borderId="15" xfId="0" applyNumberFormat="1" applyFont="1" applyFill="1" applyBorder="1" applyAlignment="1">
      <alignment horizontal="center" vertical="center" wrapText="1"/>
    </xf>
    <xf numFmtId="167" fontId="1" fillId="5" borderId="25" xfId="0" applyNumberFormat="1" applyFont="1" applyFill="1" applyBorder="1" applyAlignment="1">
      <alignment horizontal="center" vertical="center" wrapText="1"/>
    </xf>
    <xf numFmtId="0" fontId="1" fillId="5" borderId="32" xfId="0" applyNumberFormat="1" applyFont="1" applyFill="1" applyBorder="1" applyAlignment="1">
      <alignment horizontal="center" vertical="center" wrapText="1"/>
    </xf>
    <xf numFmtId="0" fontId="1" fillId="5" borderId="26" xfId="0" applyNumberFormat="1" applyFont="1" applyFill="1" applyBorder="1" applyAlignment="1">
      <alignment horizontal="center" vertical="center" wrapText="1"/>
    </xf>
    <xf numFmtId="0" fontId="1" fillId="6" borderId="28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Alignment="1"/>
    <xf numFmtId="0" fontId="1" fillId="9" borderId="28" xfId="0" applyNumberFormat="1" applyFont="1" applyFill="1" applyBorder="1" applyAlignment="1">
      <alignment horizontal="center" vertical="center" wrapText="1"/>
    </xf>
    <xf numFmtId="167" fontId="1" fillId="9" borderId="15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Alignment="1"/>
    <xf numFmtId="164" fontId="0" fillId="0" borderId="0" xfId="0" applyNumberFormat="1" applyFont="1" applyAlignment="1"/>
    <xf numFmtId="0" fontId="1" fillId="9" borderId="36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Alignment="1"/>
    <xf numFmtId="167" fontId="1" fillId="5" borderId="15" xfId="0" applyNumberFormat="1" applyFont="1" applyFill="1" applyBorder="1" applyAlignment="1">
      <alignment horizontal="center" vertical="center" wrapText="1"/>
    </xf>
    <xf numFmtId="0" fontId="2" fillId="2" borderId="34" xfId="0" applyNumberFormat="1" applyFont="1" applyFill="1" applyBorder="1" applyAlignment="1">
      <alignment horizontal="center" vertical="center" textRotation="90" wrapText="1"/>
    </xf>
    <xf numFmtId="0" fontId="1" fillId="5" borderId="44" xfId="0" applyNumberFormat="1" applyFont="1" applyFill="1" applyBorder="1" applyAlignment="1">
      <alignment horizontal="center" vertical="center" wrapText="1"/>
    </xf>
    <xf numFmtId="0" fontId="6" fillId="2" borderId="39" xfId="0" applyNumberFormat="1" applyFont="1" applyFill="1" applyBorder="1" applyAlignment="1">
      <alignment vertical="center"/>
    </xf>
    <xf numFmtId="164" fontId="0" fillId="0" borderId="35" xfId="0" applyNumberFormat="1" applyFont="1" applyBorder="1" applyAlignment="1"/>
    <xf numFmtId="8" fontId="0" fillId="6" borderId="46" xfId="0" applyNumberFormat="1" applyFont="1" applyFill="1" applyBorder="1" applyAlignment="1">
      <alignment horizontal="center" vertical="center" wrapText="1"/>
    </xf>
    <xf numFmtId="8" fontId="0" fillId="10" borderId="46" xfId="0" applyNumberFormat="1" applyFont="1" applyFill="1" applyBorder="1" applyAlignment="1">
      <alignment horizontal="center" vertical="center" wrapText="1"/>
    </xf>
    <xf numFmtId="8" fontId="0" fillId="6" borderId="47" xfId="0" applyNumberFormat="1" applyFont="1" applyFill="1" applyBorder="1" applyAlignment="1">
      <alignment horizontal="center" vertical="center" wrapText="1"/>
    </xf>
    <xf numFmtId="164" fontId="9" fillId="3" borderId="49" xfId="0" applyNumberFormat="1" applyFont="1" applyFill="1" applyBorder="1" applyAlignment="1">
      <alignment horizontal="center" vertical="center" wrapText="1"/>
    </xf>
    <xf numFmtId="164" fontId="9" fillId="3" borderId="50" xfId="0" applyNumberFormat="1" applyFont="1" applyFill="1" applyBorder="1" applyAlignment="1">
      <alignment horizontal="center" vertical="center" wrapText="1"/>
    </xf>
    <xf numFmtId="0" fontId="1" fillId="9" borderId="43" xfId="0" applyNumberFormat="1" applyFont="1" applyFill="1" applyBorder="1" applyAlignment="1">
      <alignment horizontal="center" vertical="center" wrapText="1"/>
    </xf>
    <xf numFmtId="8" fontId="0" fillId="10" borderId="48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Alignment="1"/>
    <xf numFmtId="8" fontId="0" fillId="6" borderId="48" xfId="0" applyNumberFormat="1" applyFont="1" applyFill="1" applyBorder="1" applyAlignment="1">
      <alignment horizontal="center" vertical="center" wrapText="1"/>
    </xf>
    <xf numFmtId="167" fontId="10" fillId="5" borderId="20" xfId="0" applyNumberFormat="1" applyFont="1" applyFill="1" applyBorder="1" applyAlignment="1">
      <alignment horizontal="left" vertical="center" wrapText="1"/>
    </xf>
    <xf numFmtId="167" fontId="11" fillId="9" borderId="20" xfId="0" applyNumberFormat="1" applyFont="1" applyFill="1" applyBorder="1" applyAlignment="1">
      <alignment horizontal="left" vertical="center" wrapText="1"/>
    </xf>
    <xf numFmtId="167" fontId="10" fillId="9" borderId="20" xfId="0" applyNumberFormat="1" applyFont="1" applyFill="1" applyBorder="1" applyAlignment="1">
      <alignment horizontal="left" vertical="center" wrapText="1"/>
    </xf>
    <xf numFmtId="167" fontId="10" fillId="5" borderId="16" xfId="0" applyNumberFormat="1" applyFont="1" applyFill="1" applyBorder="1" applyAlignment="1">
      <alignment horizontal="left" vertical="center" wrapText="1"/>
    </xf>
    <xf numFmtId="167" fontId="2" fillId="5" borderId="20" xfId="0" applyNumberFormat="1" applyFont="1" applyFill="1" applyBorder="1" applyAlignment="1">
      <alignment horizontal="left" vertical="center" wrapText="1"/>
    </xf>
    <xf numFmtId="167" fontId="2" fillId="5" borderId="23" xfId="0" applyNumberFormat="1" applyFont="1" applyFill="1" applyBorder="1" applyAlignment="1">
      <alignment horizontal="left" vertical="center" wrapText="1"/>
    </xf>
    <xf numFmtId="167" fontId="1" fillId="5" borderId="21" xfId="0" applyNumberFormat="1" applyFont="1" applyFill="1" applyBorder="1" applyAlignment="1">
      <alignment horizontal="center" vertical="center" wrapText="1"/>
    </xf>
    <xf numFmtId="167" fontId="1" fillId="5" borderId="15" xfId="0" applyNumberFormat="1" applyFont="1" applyFill="1" applyBorder="1" applyAlignment="1">
      <alignment horizontal="center" vertical="center" wrapText="1"/>
    </xf>
    <xf numFmtId="167" fontId="10" fillId="5" borderId="40" xfId="0" applyNumberFormat="1" applyFont="1" applyFill="1" applyBorder="1" applyAlignment="1">
      <alignment horizontal="left" vertical="center" wrapText="1"/>
    </xf>
    <xf numFmtId="167" fontId="2" fillId="5" borderId="16" xfId="0" applyNumberFormat="1" applyFont="1" applyFill="1" applyBorder="1" applyAlignment="1">
      <alignment horizontal="left" vertical="center" wrapText="1"/>
    </xf>
    <xf numFmtId="167" fontId="10" fillId="5" borderId="42" xfId="0" applyNumberFormat="1" applyFont="1" applyFill="1" applyBorder="1" applyAlignment="1">
      <alignment horizontal="left" vertical="center" wrapText="1"/>
    </xf>
    <xf numFmtId="0" fontId="11" fillId="0" borderId="20" xfId="0" applyNumberFormat="1" applyFont="1" applyBorder="1" applyAlignment="1">
      <alignment horizontal="left" vertical="center" wrapText="1"/>
    </xf>
    <xf numFmtId="164" fontId="0" fillId="0" borderId="0" xfId="0" applyNumberFormat="1" applyFont="1" applyAlignment="1"/>
    <xf numFmtId="167" fontId="10" fillId="9" borderId="40" xfId="0" applyNumberFormat="1" applyFont="1" applyFill="1" applyBorder="1" applyAlignment="1">
      <alignment horizontal="left" vertical="center" wrapText="1"/>
    </xf>
    <xf numFmtId="0" fontId="1" fillId="4" borderId="35" xfId="0" applyNumberFormat="1" applyFont="1" applyFill="1" applyBorder="1" applyAlignment="1">
      <alignment vertical="center"/>
    </xf>
    <xf numFmtId="0" fontId="1" fillId="2" borderId="35" xfId="0" applyNumberFormat="1" applyFont="1" applyFill="1" applyBorder="1" applyAlignment="1">
      <alignment vertical="center"/>
    </xf>
    <xf numFmtId="0" fontId="10" fillId="0" borderId="12" xfId="0" applyNumberFormat="1" applyFont="1" applyFill="1" applyBorder="1" applyAlignment="1">
      <alignment vertical="center" wrapText="1"/>
    </xf>
    <xf numFmtId="1" fontId="13" fillId="2" borderId="35" xfId="0" applyNumberFormat="1" applyFont="1" applyFill="1" applyBorder="1" applyAlignment="1">
      <alignment horizontal="center" vertical="center"/>
    </xf>
    <xf numFmtId="167" fontId="1" fillId="9" borderId="21" xfId="0" applyNumberFormat="1" applyFont="1" applyFill="1" applyBorder="1" applyAlignment="1">
      <alignment horizontal="center" vertical="center" wrapText="1"/>
    </xf>
    <xf numFmtId="167" fontId="1" fillId="5" borderId="24" xfId="0" applyNumberFormat="1" applyFont="1" applyFill="1" applyBorder="1" applyAlignment="1">
      <alignment horizontal="center" vertical="center" wrapText="1"/>
    </xf>
    <xf numFmtId="167" fontId="1" fillId="9" borderId="51" xfId="0" applyNumberFormat="1" applyFont="1" applyFill="1" applyBorder="1" applyAlignment="1">
      <alignment horizontal="center" vertical="center" wrapText="1"/>
    </xf>
    <xf numFmtId="167" fontId="13" fillId="5" borderId="51" xfId="0" applyNumberFormat="1" applyFont="1" applyFill="1" applyBorder="1" applyAlignment="1">
      <alignment horizontal="center" vertical="center" wrapText="1"/>
    </xf>
    <xf numFmtId="165" fontId="14" fillId="3" borderId="45" xfId="0" applyNumberFormat="1" applyFont="1" applyFill="1" applyBorder="1" applyAlignment="1">
      <alignment horizontal="center" vertical="center" wrapText="1"/>
    </xf>
    <xf numFmtId="0" fontId="13" fillId="0" borderId="13" xfId="0" applyNumberFormat="1" applyFont="1" applyBorder="1" applyAlignment="1">
      <alignment horizontal="center"/>
    </xf>
    <xf numFmtId="0" fontId="13" fillId="0" borderId="14" xfId="0" applyNumberFormat="1" applyFont="1" applyBorder="1" applyAlignment="1">
      <alignment horizontal="center"/>
    </xf>
    <xf numFmtId="0" fontId="10" fillId="0" borderId="14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vertical="center"/>
    </xf>
    <xf numFmtId="1" fontId="13" fillId="2" borderId="33" xfId="0" applyNumberFormat="1" applyFont="1" applyFill="1" applyBorder="1" applyAlignment="1">
      <alignment horizontal="center" vertical="center"/>
    </xf>
    <xf numFmtId="167" fontId="1" fillId="5" borderId="41" xfId="0" applyNumberFormat="1" applyFont="1" applyFill="1" applyBorder="1" applyAlignment="1">
      <alignment horizontal="center" vertical="center" wrapText="1"/>
    </xf>
    <xf numFmtId="167" fontId="1" fillId="9" borderId="38" xfId="0" applyNumberFormat="1" applyFont="1" applyFill="1" applyBorder="1" applyAlignment="1">
      <alignment horizontal="center" vertical="center" wrapText="1"/>
    </xf>
    <xf numFmtId="0" fontId="8" fillId="2" borderId="52" xfId="0" applyNumberFormat="1" applyFont="1" applyFill="1" applyBorder="1" applyAlignment="1">
      <alignment horizontal="center" vertical="center" textRotation="90"/>
    </xf>
    <xf numFmtId="167" fontId="13" fillId="5" borderId="17" xfId="0" applyNumberFormat="1" applyFont="1" applyFill="1" applyBorder="1" applyAlignment="1">
      <alignment horizontal="center" vertical="center" wrapText="1"/>
    </xf>
    <xf numFmtId="167" fontId="13" fillId="5" borderId="21" xfId="0" applyNumberFormat="1" applyFont="1" applyFill="1" applyBorder="1" applyAlignment="1">
      <alignment horizontal="center" vertical="center" wrapText="1"/>
    </xf>
    <xf numFmtId="0" fontId="3" fillId="0" borderId="52" xfId="0" applyNumberFormat="1" applyFont="1" applyBorder="1" applyAlignment="1">
      <alignment horizontal="center"/>
    </xf>
    <xf numFmtId="0" fontId="1" fillId="4" borderId="52" xfId="0" applyNumberFormat="1" applyFont="1" applyFill="1" applyBorder="1" applyAlignment="1">
      <alignment horizontal="center" vertical="center"/>
    </xf>
    <xf numFmtId="0" fontId="1" fillId="2" borderId="52" xfId="0" applyNumberFormat="1" applyFont="1" applyFill="1" applyBorder="1" applyAlignment="1">
      <alignment horizontal="center" vertical="center"/>
    </xf>
    <xf numFmtId="164" fontId="0" fillId="0" borderId="0" xfId="0" applyNumberFormat="1" applyFont="1" applyAlignment="1">
      <alignment horizontal="center"/>
    </xf>
    <xf numFmtId="167" fontId="13" fillId="5" borderId="16" xfId="0" applyNumberFormat="1" applyFont="1" applyFill="1" applyBorder="1" applyAlignment="1">
      <alignment horizontal="center" vertical="center" wrapText="1"/>
    </xf>
    <xf numFmtId="167" fontId="13" fillId="5" borderId="20" xfId="0" applyNumberFormat="1" applyFont="1" applyFill="1" applyBorder="1" applyAlignment="1">
      <alignment horizontal="center" vertical="center" wrapText="1"/>
    </xf>
    <xf numFmtId="167" fontId="13" fillId="9" borderId="21" xfId="0" applyNumberFormat="1" applyFont="1" applyFill="1" applyBorder="1" applyAlignment="1">
      <alignment horizontal="center" vertical="center" wrapText="1"/>
    </xf>
    <xf numFmtId="167" fontId="10" fillId="9" borderId="42" xfId="0" applyNumberFormat="1" applyFont="1" applyFill="1" applyBorder="1" applyAlignment="1">
      <alignment horizontal="left" vertical="center" wrapText="1"/>
    </xf>
    <xf numFmtId="1" fontId="13" fillId="10" borderId="33" xfId="0" applyNumberFormat="1" applyFont="1" applyFill="1" applyBorder="1" applyAlignment="1">
      <alignment horizontal="center" vertical="center"/>
    </xf>
    <xf numFmtId="1" fontId="13" fillId="10" borderId="35" xfId="0" applyNumberFormat="1" applyFont="1" applyFill="1" applyBorder="1" applyAlignment="1">
      <alignment horizontal="center" vertical="center"/>
    </xf>
    <xf numFmtId="167" fontId="1" fillId="11" borderId="15" xfId="0" applyNumberFormat="1" applyFont="1" applyFill="1" applyBorder="1" applyAlignment="1">
      <alignment horizontal="center" vertical="center" wrapText="1"/>
    </xf>
    <xf numFmtId="167" fontId="13" fillId="11" borderId="21" xfId="0" applyNumberFormat="1" applyFont="1" applyFill="1" applyBorder="1" applyAlignment="1">
      <alignment horizontal="center" vertical="center" wrapText="1"/>
    </xf>
    <xf numFmtId="167" fontId="10" fillId="11" borderId="20" xfId="0" applyNumberFormat="1" applyFont="1" applyFill="1" applyBorder="1" applyAlignment="1">
      <alignment horizontal="left" vertical="center" wrapText="1"/>
    </xf>
    <xf numFmtId="167" fontId="13" fillId="5" borderId="24" xfId="0" applyNumberFormat="1" applyFont="1" applyFill="1" applyBorder="1" applyAlignment="1">
      <alignment horizontal="center" vertical="center" wrapText="1"/>
    </xf>
    <xf numFmtId="167" fontId="10" fillId="5" borderId="23" xfId="0" applyNumberFormat="1" applyFont="1" applyFill="1" applyBorder="1" applyAlignment="1">
      <alignment horizontal="left" vertical="center" wrapText="1"/>
    </xf>
    <xf numFmtId="167" fontId="13" fillId="9" borderId="37" xfId="0" applyNumberFormat="1" applyFont="1" applyFill="1" applyBorder="1" applyAlignment="1">
      <alignment horizontal="center" vertical="center" wrapText="1"/>
    </xf>
    <xf numFmtId="167" fontId="13" fillId="9" borderId="51" xfId="0" applyNumberFormat="1" applyFont="1" applyFill="1" applyBorder="1" applyAlignment="1">
      <alignment horizontal="center" vertical="center" wrapText="1"/>
    </xf>
    <xf numFmtId="170" fontId="16" fillId="14" borderId="57" xfId="0" applyNumberFormat="1" applyFont="1" applyFill="1" applyBorder="1" applyAlignment="1">
      <alignment horizontal="center" vertical="center" wrapText="1"/>
    </xf>
    <xf numFmtId="170" fontId="11" fillId="14" borderId="10" xfId="0" applyNumberFormat="1" applyFont="1" applyFill="1" applyBorder="1" applyAlignment="1">
      <alignment horizontal="left" vertical="center" wrapText="1"/>
    </xf>
    <xf numFmtId="170" fontId="16" fillId="14" borderId="9" xfId="0" applyNumberFormat="1" applyFont="1" applyFill="1" applyBorder="1" applyAlignment="1">
      <alignment horizontal="center" vertical="center" wrapText="1"/>
    </xf>
    <xf numFmtId="170" fontId="16" fillId="14" borderId="58" xfId="0" applyNumberFormat="1" applyFont="1" applyFill="1" applyBorder="1" applyAlignment="1">
      <alignment horizontal="center" vertical="center" wrapText="1"/>
    </xf>
    <xf numFmtId="170" fontId="16" fillId="14" borderId="11" xfId="0" applyNumberFormat="1" applyFont="1" applyFill="1" applyBorder="1" applyAlignment="1">
      <alignment horizontal="center" vertical="center" wrapText="1"/>
    </xf>
    <xf numFmtId="170" fontId="16" fillId="14" borderId="6" xfId="0" applyNumberFormat="1" applyFont="1" applyFill="1" applyBorder="1" applyAlignment="1">
      <alignment horizontal="center" vertical="center" wrapText="1"/>
    </xf>
    <xf numFmtId="170" fontId="16" fillId="14" borderId="5" xfId="0" applyNumberFormat="1" applyFont="1" applyFill="1" applyBorder="1" applyAlignment="1">
      <alignment horizontal="center" vertical="center" wrapText="1"/>
    </xf>
    <xf numFmtId="170" fontId="11" fillId="14" borderId="8" xfId="0" applyNumberFormat="1" applyFont="1" applyFill="1" applyBorder="1" applyAlignment="1">
      <alignment horizontal="left" vertical="center" wrapText="1"/>
    </xf>
    <xf numFmtId="170" fontId="17" fillId="13" borderId="61" xfId="0" applyNumberFormat="1" applyFont="1" applyFill="1" applyBorder="1" applyAlignment="1">
      <alignment horizontal="center" vertical="center" wrapText="1"/>
    </xf>
    <xf numFmtId="170" fontId="17" fillId="13" borderId="56" xfId="0" applyNumberFormat="1" applyFont="1" applyFill="1" applyBorder="1" applyAlignment="1">
      <alignment horizontal="center" vertical="center" wrapText="1"/>
    </xf>
    <xf numFmtId="170" fontId="16" fillId="15" borderId="6" xfId="0" applyNumberFormat="1" applyFont="1" applyFill="1" applyBorder="1" applyAlignment="1">
      <alignment horizontal="center" vertical="center" wrapText="1"/>
    </xf>
    <xf numFmtId="170" fontId="11" fillId="15" borderId="62" xfId="0" applyNumberFormat="1" applyFont="1" applyFill="1" applyBorder="1" applyAlignment="1">
      <alignment horizontal="left" vertical="center" wrapText="1"/>
    </xf>
    <xf numFmtId="170" fontId="16" fillId="15" borderId="9" xfId="0" applyNumberFormat="1" applyFont="1" applyFill="1" applyBorder="1" applyAlignment="1">
      <alignment horizontal="center" vertical="center" wrapText="1"/>
    </xf>
    <xf numFmtId="170" fontId="16" fillId="15" borderId="58" xfId="0" applyNumberFormat="1" applyFont="1" applyFill="1" applyBorder="1" applyAlignment="1">
      <alignment horizontal="center" vertical="center" wrapText="1"/>
    </xf>
    <xf numFmtId="170" fontId="16" fillId="12" borderId="0" xfId="0" applyNumberFormat="1" applyFont="1" applyFill="1" applyAlignment="1">
      <alignment horizontal="center" vertical="center" wrapText="1"/>
    </xf>
    <xf numFmtId="170" fontId="11" fillId="12" borderId="0" xfId="0" applyNumberFormat="1" applyFont="1" applyFill="1" applyAlignment="1">
      <alignment horizontal="left" vertical="center" wrapText="1"/>
    </xf>
    <xf numFmtId="170" fontId="16" fillId="15" borderId="0" xfId="0" applyNumberFormat="1" applyFont="1" applyFill="1" applyAlignment="1">
      <alignment horizontal="center" vertical="center" wrapText="1"/>
    </xf>
    <xf numFmtId="170" fontId="11" fillId="15" borderId="10" xfId="0" applyNumberFormat="1" applyFont="1" applyFill="1" applyBorder="1" applyAlignment="1">
      <alignment horizontal="left" vertical="center" wrapText="1"/>
    </xf>
    <xf numFmtId="170" fontId="16" fillId="15" borderId="63" xfId="0" applyNumberFormat="1" applyFont="1" applyFill="1" applyBorder="1" applyAlignment="1">
      <alignment horizontal="center" vertical="center" wrapText="1"/>
    </xf>
    <xf numFmtId="170" fontId="16" fillId="15" borderId="56" xfId="0" applyNumberFormat="1" applyFont="1" applyFill="1" applyBorder="1" applyAlignment="1">
      <alignment horizontal="center" vertical="center" wrapText="1"/>
    </xf>
    <xf numFmtId="170" fontId="16" fillId="15" borderId="64" xfId="0" applyNumberFormat="1" applyFont="1" applyFill="1" applyBorder="1" applyAlignment="1">
      <alignment horizontal="center" vertical="center" wrapText="1"/>
    </xf>
    <xf numFmtId="170" fontId="16" fillId="15" borderId="65" xfId="0" applyNumberFormat="1" applyFont="1" applyFill="1" applyBorder="1" applyAlignment="1">
      <alignment horizontal="center" vertical="center" wrapText="1"/>
    </xf>
    <xf numFmtId="170" fontId="16" fillId="15" borderId="66" xfId="0" applyNumberFormat="1" applyFont="1" applyFill="1" applyBorder="1" applyAlignment="1">
      <alignment horizontal="center" vertical="center" wrapText="1"/>
    </xf>
    <xf numFmtId="170" fontId="16" fillId="15" borderId="69" xfId="0" applyNumberFormat="1" applyFont="1" applyFill="1" applyBorder="1" applyAlignment="1">
      <alignment horizontal="center" vertical="center" wrapText="1"/>
    </xf>
    <xf numFmtId="170" fontId="11" fillId="15" borderId="8" xfId="0" applyNumberFormat="1" applyFont="1" applyFill="1" applyBorder="1" applyAlignment="1">
      <alignment horizontal="left" vertical="center" wrapText="1"/>
    </xf>
    <xf numFmtId="170" fontId="16" fillId="15" borderId="70" xfId="0" applyNumberFormat="1" applyFont="1" applyFill="1" applyBorder="1" applyAlignment="1">
      <alignment horizontal="center" vertical="center" wrapText="1"/>
    </xf>
    <xf numFmtId="170" fontId="16" fillId="15" borderId="67" xfId="0" applyNumberFormat="1" applyFont="1" applyFill="1" applyBorder="1" applyAlignment="1">
      <alignment horizontal="center" vertical="center" wrapText="1"/>
    </xf>
    <xf numFmtId="170" fontId="16" fillId="15" borderId="71" xfId="0" applyNumberFormat="1" applyFont="1" applyFill="1" applyBorder="1" applyAlignment="1">
      <alignment horizontal="center" vertical="center" wrapText="1"/>
    </xf>
    <xf numFmtId="170" fontId="16" fillId="15" borderId="64" xfId="0" applyNumberFormat="1" applyFont="1" applyFill="1" applyBorder="1" applyAlignment="1">
      <alignment horizontal="left" vertical="center" wrapText="1"/>
    </xf>
    <xf numFmtId="170" fontId="16" fillId="14" borderId="64" xfId="0" applyNumberFormat="1" applyFont="1" applyFill="1" applyBorder="1" applyAlignment="1">
      <alignment horizontal="center" vertical="center" wrapText="1"/>
    </xf>
    <xf numFmtId="170" fontId="11" fillId="14" borderId="5" xfId="0" applyNumberFormat="1" applyFont="1" applyFill="1" applyBorder="1" applyAlignment="1">
      <alignment horizontal="left" vertical="center" wrapText="1"/>
    </xf>
    <xf numFmtId="170" fontId="16" fillId="14" borderId="59" xfId="0" applyNumberFormat="1" applyFont="1" applyFill="1" applyBorder="1" applyAlignment="1">
      <alignment horizontal="center" vertical="center" wrapText="1"/>
    </xf>
    <xf numFmtId="170" fontId="11" fillId="14" borderId="62" xfId="0" applyNumberFormat="1" applyFont="1" applyFill="1" applyBorder="1" applyAlignment="1">
      <alignment horizontal="left" vertical="center" wrapText="1"/>
    </xf>
    <xf numFmtId="170" fontId="16" fillId="14" borderId="0" xfId="0" applyNumberFormat="1" applyFont="1" applyFill="1" applyAlignment="1">
      <alignment horizontal="center" vertical="center" wrapText="1"/>
    </xf>
    <xf numFmtId="170" fontId="11" fillId="14" borderId="60" xfId="0" applyNumberFormat="1" applyFont="1" applyFill="1" applyBorder="1" applyAlignment="1">
      <alignment horizontal="left" vertical="center" wrapText="1"/>
    </xf>
    <xf numFmtId="170" fontId="16" fillId="14" borderId="72" xfId="0" applyNumberFormat="1" applyFont="1" applyFill="1" applyBorder="1" applyAlignment="1">
      <alignment horizontal="center" vertical="center" wrapText="1"/>
    </xf>
    <xf numFmtId="170" fontId="17" fillId="13" borderId="73" xfId="0" applyNumberFormat="1" applyFont="1" applyFill="1" applyBorder="1" applyAlignment="1">
      <alignment horizontal="center" vertical="center" wrapText="1"/>
    </xf>
    <xf numFmtId="170" fontId="11" fillId="14" borderId="74" xfId="0" applyNumberFormat="1" applyFont="1" applyFill="1" applyBorder="1" applyAlignment="1">
      <alignment horizontal="left" vertical="center" wrapText="1"/>
    </xf>
    <xf numFmtId="170" fontId="16" fillId="14" borderId="75" xfId="0" applyNumberFormat="1" applyFont="1" applyFill="1" applyBorder="1" applyAlignment="1">
      <alignment horizontal="center" vertical="center" wrapText="1"/>
    </xf>
    <xf numFmtId="170" fontId="11" fillId="14" borderId="75" xfId="0" applyNumberFormat="1" applyFont="1" applyFill="1" applyBorder="1" applyAlignment="1">
      <alignment horizontal="left" vertical="center" wrapText="1"/>
    </xf>
    <xf numFmtId="170" fontId="16" fillId="14" borderId="76" xfId="0" applyNumberFormat="1" applyFont="1" applyFill="1" applyBorder="1" applyAlignment="1">
      <alignment horizontal="center" vertical="center" wrapText="1"/>
    </xf>
    <xf numFmtId="170" fontId="16" fillId="16" borderId="5" xfId="0" applyNumberFormat="1" applyFont="1" applyFill="1" applyBorder="1" applyAlignment="1">
      <alignment horizontal="center" vertical="center" wrapText="1"/>
    </xf>
    <xf numFmtId="170" fontId="11" fillId="16" borderId="62" xfId="0" applyNumberFormat="1" applyFont="1" applyFill="1" applyBorder="1" applyAlignment="1">
      <alignment horizontal="left" vertical="center" wrapText="1"/>
    </xf>
    <xf numFmtId="170" fontId="16" fillId="15" borderId="5" xfId="0" applyNumberFormat="1" applyFont="1" applyFill="1" applyBorder="1" applyAlignment="1">
      <alignment horizontal="center" vertical="center" wrapText="1"/>
    </xf>
    <xf numFmtId="170" fontId="16" fillId="14" borderId="65" xfId="0" applyNumberFormat="1" applyFont="1" applyFill="1" applyBorder="1" applyAlignment="1">
      <alignment horizontal="center" vertical="center" wrapText="1"/>
    </xf>
    <xf numFmtId="170" fontId="16" fillId="14" borderId="34" xfId="0" applyNumberFormat="1" applyFont="1" applyFill="1" applyBorder="1" applyAlignment="1">
      <alignment horizontal="center" vertical="center" wrapText="1"/>
    </xf>
    <xf numFmtId="170" fontId="16" fillId="14" borderId="29" xfId="0" applyNumberFormat="1" applyFont="1" applyFill="1" applyBorder="1" applyAlignment="1">
      <alignment horizontal="center" vertical="center" wrapText="1"/>
    </xf>
    <xf numFmtId="170" fontId="16" fillId="14" borderId="70" xfId="0" applyNumberFormat="1" applyFont="1" applyFill="1" applyBorder="1" applyAlignment="1">
      <alignment horizontal="center" vertical="center" wrapText="1"/>
    </xf>
    <xf numFmtId="170" fontId="17" fillId="13" borderId="78" xfId="0" applyNumberFormat="1" applyFont="1" applyFill="1" applyBorder="1" applyAlignment="1">
      <alignment horizontal="center" vertical="center" wrapText="1"/>
    </xf>
    <xf numFmtId="170" fontId="16" fillId="14" borderId="56" xfId="0" applyNumberFormat="1" applyFont="1" applyFill="1" applyBorder="1" applyAlignment="1">
      <alignment horizontal="center" vertical="center" wrapText="1"/>
    </xf>
    <xf numFmtId="170" fontId="16" fillId="14" borderId="79" xfId="0" applyNumberFormat="1" applyFont="1" applyFill="1" applyBorder="1" applyAlignment="1">
      <alignment horizontal="center" vertical="center" wrapText="1"/>
    </xf>
    <xf numFmtId="170" fontId="16" fillId="14" borderId="80" xfId="0" applyNumberFormat="1" applyFont="1" applyFill="1" applyBorder="1" applyAlignment="1">
      <alignment horizontal="center" vertical="center" wrapText="1"/>
    </xf>
    <xf numFmtId="170" fontId="17" fillId="13" borderId="79" xfId="0" applyNumberFormat="1" applyFont="1" applyFill="1" applyBorder="1" applyAlignment="1">
      <alignment horizontal="center" vertical="center" wrapText="1"/>
    </xf>
    <xf numFmtId="170" fontId="16" fillId="14" borderId="10" xfId="0" applyNumberFormat="1" applyFont="1" applyFill="1" applyBorder="1" applyAlignment="1">
      <alignment horizontal="center" vertical="center" wrapText="1"/>
    </xf>
    <xf numFmtId="170" fontId="11" fillId="14" borderId="74" xfId="0" applyNumberFormat="1" applyFont="1" applyFill="1" applyBorder="1" applyAlignment="1">
      <alignment horizontal="left" wrapText="1"/>
    </xf>
    <xf numFmtId="170" fontId="16" fillId="14" borderId="62" xfId="0" applyNumberFormat="1" applyFont="1" applyFill="1" applyBorder="1" applyAlignment="1">
      <alignment horizontal="center" vertical="center" wrapText="1"/>
    </xf>
    <xf numFmtId="170" fontId="16" fillId="15" borderId="57" xfId="0" applyNumberFormat="1" applyFont="1" applyFill="1" applyBorder="1" applyAlignment="1">
      <alignment horizontal="center" vertical="center" wrapText="1"/>
    </xf>
    <xf numFmtId="170" fontId="16" fillId="15" borderId="59" xfId="0" applyNumberFormat="1" applyFont="1" applyFill="1" applyBorder="1" applyAlignment="1">
      <alignment horizontal="center" vertical="center" wrapText="1"/>
    </xf>
    <xf numFmtId="170" fontId="17" fillId="8" borderId="9" xfId="0" applyNumberFormat="1" applyFont="1" applyFill="1" applyBorder="1" applyAlignment="1">
      <alignment horizontal="center" vertical="center" wrapText="1"/>
    </xf>
    <xf numFmtId="170" fontId="17" fillId="8" borderId="58" xfId="0" applyNumberFormat="1" applyFont="1" applyFill="1" applyBorder="1" applyAlignment="1">
      <alignment horizontal="center" vertical="center" wrapText="1"/>
    </xf>
    <xf numFmtId="170" fontId="16" fillId="0" borderId="64" xfId="0" applyNumberFormat="1" applyFont="1" applyBorder="1" applyAlignment="1">
      <alignment horizontal="center" vertical="center" wrapText="1"/>
    </xf>
    <xf numFmtId="170" fontId="11" fillId="0" borderId="74" xfId="0" applyNumberFormat="1" applyFont="1" applyBorder="1" applyAlignment="1">
      <alignment horizontal="left" vertical="center" wrapText="1"/>
    </xf>
    <xf numFmtId="170" fontId="16" fillId="0" borderId="59" xfId="0" applyNumberFormat="1" applyFont="1" applyBorder="1" applyAlignment="1">
      <alignment horizontal="center" vertical="center" wrapText="1"/>
    </xf>
    <xf numFmtId="170" fontId="16" fillId="0" borderId="6" xfId="0" applyNumberFormat="1" applyFont="1" applyBorder="1" applyAlignment="1">
      <alignment horizontal="center" vertical="center" wrapText="1"/>
    </xf>
    <xf numFmtId="170" fontId="18" fillId="8" borderId="56" xfId="0" applyNumberFormat="1" applyFont="1" applyFill="1" applyBorder="1" applyAlignment="1">
      <alignment horizontal="center" vertical="center" wrapText="1"/>
    </xf>
    <xf numFmtId="170" fontId="18" fillId="8" borderId="84" xfId="0" applyNumberFormat="1" applyFont="1" applyFill="1" applyBorder="1" applyAlignment="1">
      <alignment horizontal="center" vertical="center" wrapText="1"/>
    </xf>
    <xf numFmtId="170" fontId="16" fillId="14" borderId="5" xfId="0" applyNumberFormat="1" applyFont="1" applyFill="1" applyBorder="1" applyAlignment="1">
      <alignment horizontal="left" vertical="center" wrapText="1"/>
    </xf>
    <xf numFmtId="170" fontId="16" fillId="14" borderId="74" xfId="0" applyNumberFormat="1" applyFont="1" applyFill="1" applyBorder="1" applyAlignment="1">
      <alignment horizontal="center" vertical="center" wrapText="1"/>
    </xf>
    <xf numFmtId="170" fontId="17" fillId="8" borderId="0" xfId="0" applyNumberFormat="1" applyFont="1" applyFill="1" applyAlignment="1">
      <alignment horizontal="center" vertical="center" wrapText="1"/>
    </xf>
    <xf numFmtId="170" fontId="17" fillId="8" borderId="84" xfId="0" applyNumberFormat="1" applyFont="1" applyFill="1" applyBorder="1" applyAlignment="1">
      <alignment horizontal="center" vertical="center" wrapText="1"/>
    </xf>
    <xf numFmtId="170" fontId="16" fillId="14" borderId="85" xfId="0" applyNumberFormat="1" applyFont="1" applyFill="1" applyBorder="1" applyAlignment="1">
      <alignment horizontal="center" vertical="center" wrapText="1"/>
    </xf>
    <xf numFmtId="170" fontId="11" fillId="14" borderId="85" xfId="0" applyNumberFormat="1" applyFont="1" applyFill="1" applyBorder="1" applyAlignment="1">
      <alignment horizontal="left" vertical="center" wrapText="1"/>
    </xf>
    <xf numFmtId="170" fontId="16" fillId="14" borderId="53" xfId="0" applyNumberFormat="1" applyFont="1" applyFill="1" applyBorder="1" applyAlignment="1">
      <alignment horizontal="center" vertical="center" wrapText="1"/>
    </xf>
    <xf numFmtId="170" fontId="16" fillId="14" borderId="86" xfId="0" applyNumberFormat="1" applyFont="1" applyFill="1" applyBorder="1" applyAlignment="1">
      <alignment horizontal="center" vertical="center" wrapText="1"/>
    </xf>
    <xf numFmtId="170" fontId="16" fillId="14" borderId="87" xfId="0" applyNumberFormat="1" applyFont="1" applyFill="1" applyBorder="1" applyAlignment="1">
      <alignment horizontal="center" vertical="center" wrapText="1"/>
    </xf>
    <xf numFmtId="170" fontId="16" fillId="17" borderId="58" xfId="0" applyNumberFormat="1" applyFont="1" applyFill="1" applyBorder="1" applyAlignment="1">
      <alignment horizontal="center" vertical="center" wrapText="1"/>
    </xf>
    <xf numFmtId="170" fontId="12" fillId="12" borderId="72" xfId="0" applyNumberFormat="1" applyFont="1" applyFill="1" applyBorder="1" applyAlignment="1">
      <alignment horizontal="center" vertical="center" wrapText="1"/>
    </xf>
    <xf numFmtId="170" fontId="16" fillId="14" borderId="69" xfId="0" applyNumberFormat="1" applyFont="1" applyFill="1" applyBorder="1" applyAlignment="1">
      <alignment horizontal="center" vertical="center" wrapText="1"/>
    </xf>
    <xf numFmtId="0" fontId="1" fillId="5" borderId="0" xfId="0" applyNumberFormat="1" applyFont="1" applyFill="1" applyBorder="1" applyAlignment="1">
      <alignment horizontal="center" vertical="center" wrapText="1"/>
    </xf>
    <xf numFmtId="170" fontId="16" fillId="0" borderId="53" xfId="0" applyNumberFormat="1" applyFont="1" applyBorder="1" applyAlignment="1">
      <alignment horizontal="center" wrapText="1"/>
    </xf>
    <xf numFmtId="167" fontId="1" fillId="11" borderId="25" xfId="0" applyNumberFormat="1" applyFont="1" applyFill="1" applyBorder="1" applyAlignment="1">
      <alignment horizontal="center" vertical="center" wrapText="1"/>
    </xf>
    <xf numFmtId="167" fontId="1" fillId="11" borderId="24" xfId="0" applyNumberFormat="1" applyFont="1" applyFill="1" applyBorder="1" applyAlignment="1">
      <alignment horizontal="center" vertical="center" wrapText="1"/>
    </xf>
    <xf numFmtId="0" fontId="1" fillId="7" borderId="28" xfId="0" applyNumberFormat="1" applyFont="1" applyFill="1" applyBorder="1" applyAlignment="1">
      <alignment horizontal="center" vertical="center" wrapText="1"/>
    </xf>
    <xf numFmtId="8" fontId="0" fillId="7" borderId="46" xfId="0" applyNumberFormat="1" applyFont="1" applyFill="1" applyBorder="1" applyAlignment="1">
      <alignment horizontal="center" vertical="center" wrapText="1"/>
    </xf>
    <xf numFmtId="170" fontId="12" fillId="12" borderId="59" xfId="0" applyNumberFormat="1" applyFont="1" applyFill="1" applyBorder="1" applyAlignment="1">
      <alignment horizontal="left" vertical="center" wrapText="1"/>
    </xf>
    <xf numFmtId="170" fontId="12" fillId="12" borderId="9" xfId="0" applyNumberFormat="1" applyFont="1" applyFill="1" applyBorder="1" applyAlignment="1">
      <alignment horizontal="left" vertical="center" wrapText="1"/>
    </xf>
    <xf numFmtId="170" fontId="12" fillId="12" borderId="60" xfId="0" applyNumberFormat="1" applyFont="1" applyFill="1" applyBorder="1" applyAlignment="1">
      <alignment horizontal="left" vertical="center" wrapText="1"/>
    </xf>
    <xf numFmtId="170" fontId="12" fillId="12" borderId="68" xfId="0" applyNumberFormat="1" applyFont="1" applyFill="1" applyBorder="1" applyAlignment="1">
      <alignment horizontal="center" vertical="center" wrapText="1"/>
    </xf>
    <xf numFmtId="170" fontId="12" fillId="12" borderId="35" xfId="0" applyNumberFormat="1" applyFont="1" applyFill="1" applyBorder="1" applyAlignment="1">
      <alignment horizontal="center" vertical="center" wrapText="1"/>
    </xf>
    <xf numFmtId="170" fontId="12" fillId="12" borderId="83" xfId="0" applyNumberFormat="1" applyFont="1" applyFill="1" applyBorder="1" applyAlignment="1">
      <alignment horizontal="center" vertical="center" wrapText="1"/>
    </xf>
    <xf numFmtId="170" fontId="12" fillId="12" borderId="88" xfId="0" applyNumberFormat="1" applyFont="1" applyFill="1" applyBorder="1" applyAlignment="1">
      <alignment horizontal="center" vertical="center" wrapText="1"/>
    </xf>
    <xf numFmtId="170" fontId="12" fillId="12" borderId="77" xfId="0" applyNumberFormat="1" applyFont="1" applyFill="1" applyBorder="1" applyAlignment="1">
      <alignment horizontal="center" vertical="center" wrapText="1"/>
    </xf>
    <xf numFmtId="170" fontId="12" fillId="12" borderId="89" xfId="0" applyNumberFormat="1" applyFont="1" applyFill="1" applyBorder="1" applyAlignment="1">
      <alignment horizontal="center" vertical="center" wrapText="1"/>
    </xf>
    <xf numFmtId="170" fontId="12" fillId="12" borderId="54" xfId="0" applyNumberFormat="1" applyFont="1" applyFill="1" applyBorder="1" applyAlignment="1">
      <alignment horizontal="center" vertical="center" wrapText="1"/>
    </xf>
    <xf numFmtId="170" fontId="12" fillId="12" borderId="55" xfId="0" applyNumberFormat="1" applyFont="1" applyFill="1" applyBorder="1" applyAlignment="1">
      <alignment horizontal="center" vertical="center" wrapText="1"/>
    </xf>
    <xf numFmtId="0" fontId="8" fillId="2" borderId="29" xfId="0" applyNumberFormat="1" applyFont="1" applyFill="1" applyBorder="1" applyAlignment="1">
      <alignment horizontal="center" vertical="center" textRotation="90" wrapText="1"/>
    </xf>
    <xf numFmtId="0" fontId="8" fillId="2" borderId="34" xfId="0" applyNumberFormat="1" applyFont="1" applyFill="1" applyBorder="1" applyAlignment="1">
      <alignment horizontal="center" vertical="center" textRotation="90" wrapText="1"/>
    </xf>
    <xf numFmtId="0" fontId="8" fillId="2" borderId="29" xfId="0" applyNumberFormat="1" applyFont="1" applyFill="1" applyBorder="1" applyAlignment="1">
      <alignment horizontal="center" vertical="center" textRotation="90"/>
    </xf>
    <xf numFmtId="0" fontId="8" fillId="2" borderId="34" xfId="0" applyNumberFormat="1" applyFont="1" applyFill="1" applyBorder="1" applyAlignment="1">
      <alignment horizontal="center" vertical="center" textRotation="90"/>
    </xf>
    <xf numFmtId="167" fontId="12" fillId="4" borderId="35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Border="1"/>
    <xf numFmtId="0" fontId="3" fillId="0" borderId="34" xfId="0" applyNumberFormat="1" applyFont="1" applyBorder="1"/>
    <xf numFmtId="0" fontId="3" fillId="0" borderId="10" xfId="0" applyNumberFormat="1" applyFont="1" applyBorder="1"/>
    <xf numFmtId="167" fontId="4" fillId="4" borderId="31" xfId="0" applyNumberFormat="1" applyFont="1" applyFill="1" applyBorder="1" applyAlignment="1">
      <alignment horizontal="center" vertical="center" wrapText="1"/>
    </xf>
    <xf numFmtId="0" fontId="3" fillId="0" borderId="27" xfId="0" applyNumberFormat="1" applyFont="1" applyBorder="1"/>
    <xf numFmtId="167" fontId="4" fillId="4" borderId="35" xfId="0" applyNumberFormat="1" applyFont="1" applyFill="1" applyBorder="1" applyAlignment="1">
      <alignment horizontal="center" vertical="center" wrapText="1"/>
    </xf>
    <xf numFmtId="167" fontId="4" fillId="4" borderId="3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Border="1"/>
    <xf numFmtId="170" fontId="12" fillId="12" borderId="59" xfId="0" applyNumberFormat="1" applyFont="1" applyFill="1" applyBorder="1" applyAlignment="1">
      <alignment horizontal="center" vertical="center" wrapText="1"/>
    </xf>
    <xf numFmtId="170" fontId="12" fillId="12" borderId="9" xfId="0" applyNumberFormat="1" applyFont="1" applyFill="1" applyBorder="1" applyAlignment="1">
      <alignment horizontal="center" vertical="center" wrapText="1"/>
    </xf>
    <xf numFmtId="170" fontId="12" fillId="12" borderId="60" xfId="0" applyNumberFormat="1" applyFont="1" applyFill="1" applyBorder="1" applyAlignment="1">
      <alignment horizontal="center" vertical="center" wrapText="1"/>
    </xf>
    <xf numFmtId="170" fontId="12" fillId="12" borderId="82" xfId="0" applyNumberFormat="1" applyFont="1" applyFill="1" applyBorder="1" applyAlignment="1">
      <alignment horizontal="center" vertical="center" wrapText="1"/>
    </xf>
    <xf numFmtId="170" fontId="12" fillId="12" borderId="90" xfId="0" applyNumberFormat="1" applyFont="1" applyFill="1" applyBorder="1" applyAlignment="1">
      <alignment horizontal="center" vertical="center" wrapText="1"/>
    </xf>
    <xf numFmtId="170" fontId="12" fillId="12" borderId="3" xfId="0" applyNumberFormat="1" applyFont="1" applyFill="1" applyBorder="1" applyAlignment="1">
      <alignment horizontal="center" vertical="center" wrapText="1"/>
    </xf>
    <xf numFmtId="170" fontId="12" fillId="12" borderId="91" xfId="0" applyNumberFormat="1" applyFont="1" applyFill="1" applyBorder="1" applyAlignment="1">
      <alignment horizontal="center" vertical="center" wrapText="1"/>
    </xf>
    <xf numFmtId="170" fontId="16" fillId="5" borderId="6" xfId="0" applyNumberFormat="1" applyFont="1" applyFill="1" applyBorder="1" applyAlignment="1">
      <alignment horizontal="center" vertical="center" wrapText="1"/>
    </xf>
    <xf numFmtId="170" fontId="16" fillId="5" borderId="53" xfId="0" applyNumberFormat="1" applyFont="1" applyFill="1" applyBorder="1" applyAlignment="1">
      <alignment horizontal="left" wrapText="1"/>
    </xf>
    <xf numFmtId="170" fontId="16" fillId="5" borderId="0" xfId="0" applyNumberFormat="1" applyFont="1" applyFill="1" applyAlignment="1">
      <alignment horizontal="center" vertical="center" wrapText="1"/>
    </xf>
    <xf numFmtId="170" fontId="16" fillId="5" borderId="64" xfId="0" applyNumberFormat="1" applyFont="1" applyFill="1" applyBorder="1" applyAlignment="1">
      <alignment horizontal="center" vertical="center" wrapText="1"/>
    </xf>
    <xf numFmtId="170" fontId="16" fillId="5" borderId="69" xfId="0" applyNumberFormat="1" applyFont="1" applyFill="1" applyBorder="1" applyAlignment="1">
      <alignment horizontal="center" vertical="center" wrapText="1"/>
    </xf>
    <xf numFmtId="170" fontId="16" fillId="5" borderId="70" xfId="0" applyNumberFormat="1" applyFont="1" applyFill="1" applyBorder="1" applyAlignment="1">
      <alignment horizontal="center" vertical="center" wrapText="1"/>
    </xf>
    <xf numFmtId="170" fontId="16" fillId="5" borderId="65" xfId="0" applyNumberFormat="1" applyFont="1" applyFill="1" applyBorder="1" applyAlignment="1">
      <alignment horizontal="center" vertical="center" wrapText="1"/>
    </xf>
    <xf numFmtId="170" fontId="16" fillId="5" borderId="57" xfId="0" applyNumberFormat="1" applyFont="1" applyFill="1" applyBorder="1" applyAlignment="1">
      <alignment horizontal="center" vertical="center" wrapText="1"/>
    </xf>
    <xf numFmtId="170" fontId="16" fillId="5" borderId="5" xfId="0" applyNumberFormat="1" applyFont="1" applyFill="1" applyBorder="1" applyAlignment="1">
      <alignment horizontal="center" vertical="center" wrapText="1"/>
    </xf>
    <xf numFmtId="170" fontId="16" fillId="5" borderId="75" xfId="0" applyNumberFormat="1" applyFont="1" applyFill="1" applyBorder="1" applyAlignment="1">
      <alignment horizontal="center" vertical="center" wrapText="1"/>
    </xf>
    <xf numFmtId="170" fontId="16" fillId="5" borderId="34" xfId="0" applyNumberFormat="1" applyFont="1" applyFill="1" applyBorder="1" applyAlignment="1">
      <alignment horizontal="center" vertical="center" wrapText="1"/>
    </xf>
    <xf numFmtId="170" fontId="16" fillId="5" borderId="29" xfId="0" applyNumberFormat="1" applyFont="1" applyFill="1" applyBorder="1" applyAlignment="1">
      <alignment horizontal="center" vertical="center" wrapText="1"/>
    </xf>
    <xf numFmtId="170" fontId="11" fillId="5" borderId="81" xfId="0" applyNumberFormat="1" applyFont="1" applyFill="1" applyBorder="1" applyAlignment="1">
      <alignment horizontal="center" vertical="center" wrapText="1"/>
    </xf>
    <xf numFmtId="170" fontId="16" fillId="5" borderId="10" xfId="0" applyNumberFormat="1" applyFont="1" applyFill="1" applyBorder="1" applyAlignment="1">
      <alignment horizontal="center" vertical="center" wrapText="1"/>
    </xf>
    <xf numFmtId="170" fontId="11" fillId="5" borderId="53" xfId="0" applyNumberFormat="1" applyFont="1" applyFill="1" applyBorder="1" applyAlignment="1">
      <alignment horizontal="center" vertical="center" wrapText="1"/>
    </xf>
    <xf numFmtId="170" fontId="16" fillId="5" borderId="0" xfId="0" applyNumberFormat="1" applyFont="1" applyFill="1" applyAlignment="1">
      <alignment horizontal="left" wrapText="1"/>
    </xf>
    <xf numFmtId="170" fontId="16" fillId="5" borderId="74" xfId="0" applyNumberFormat="1" applyFont="1" applyFill="1" applyBorder="1" applyAlignment="1">
      <alignment horizontal="center" vertical="center" wrapText="1"/>
    </xf>
    <xf numFmtId="170" fontId="16" fillId="5" borderId="0" xfId="0" applyNumberFormat="1" applyFont="1" applyFill="1" applyAlignment="1">
      <alignment horizontal="left" vertical="center" wrapText="1"/>
    </xf>
    <xf numFmtId="170" fontId="16" fillId="5" borderId="85" xfId="0" applyNumberFormat="1" applyFont="1" applyFill="1" applyBorder="1" applyAlignment="1">
      <alignment horizontal="center" vertical="center" wrapText="1"/>
    </xf>
    <xf numFmtId="170" fontId="16" fillId="5" borderId="71" xfId="0" applyNumberFormat="1" applyFont="1" applyFill="1" applyBorder="1" applyAlignment="1">
      <alignment horizontal="left" wrapText="1"/>
    </xf>
    <xf numFmtId="170" fontId="16" fillId="18" borderId="6" xfId="0" applyNumberFormat="1" applyFont="1" applyFill="1" applyBorder="1" applyAlignment="1">
      <alignment horizontal="center" vertical="center" wrapText="1"/>
    </xf>
    <xf numFmtId="170" fontId="16" fillId="18" borderId="53" xfId="0" applyNumberFormat="1" applyFont="1" applyFill="1" applyBorder="1" applyAlignment="1">
      <alignment horizontal="left" wrapText="1"/>
    </xf>
    <xf numFmtId="170" fontId="16" fillId="18" borderId="0" xfId="0" applyNumberFormat="1" applyFont="1" applyFill="1" applyAlignment="1">
      <alignment horizontal="center" vertical="center" wrapText="1"/>
    </xf>
    <xf numFmtId="170" fontId="16" fillId="18" borderId="64" xfId="0" applyNumberFormat="1" applyFont="1" applyFill="1" applyBorder="1" applyAlignment="1">
      <alignment horizontal="center" vertical="center" wrapText="1"/>
    </xf>
    <xf numFmtId="170" fontId="16" fillId="18" borderId="69" xfId="0" applyNumberFormat="1" applyFont="1" applyFill="1" applyBorder="1" applyAlignment="1">
      <alignment horizontal="center" vertical="center" wrapText="1"/>
    </xf>
    <xf numFmtId="170" fontId="16" fillId="18" borderId="70" xfId="0" applyNumberFormat="1" applyFont="1" applyFill="1" applyBorder="1" applyAlignment="1">
      <alignment horizontal="center" vertical="center" wrapText="1"/>
    </xf>
    <xf numFmtId="170" fontId="16" fillId="18" borderId="65" xfId="0" applyNumberFormat="1" applyFont="1" applyFill="1" applyBorder="1" applyAlignment="1">
      <alignment horizontal="center" vertical="center" wrapText="1"/>
    </xf>
    <xf numFmtId="170" fontId="16" fillId="18" borderId="67" xfId="0" applyNumberFormat="1" applyFont="1" applyFill="1" applyBorder="1" applyAlignment="1">
      <alignment horizontal="center" vertical="center" wrapText="1"/>
    </xf>
    <xf numFmtId="170" fontId="16" fillId="18" borderId="71" xfId="0" applyNumberFormat="1" applyFont="1" applyFill="1" applyBorder="1" applyAlignment="1">
      <alignment horizontal="center" vertical="center" wrapText="1"/>
    </xf>
    <xf numFmtId="170" fontId="16" fillId="18" borderId="59" xfId="0" applyNumberFormat="1" applyFont="1" applyFill="1" applyBorder="1" applyAlignment="1">
      <alignment horizontal="center" vertical="center" wrapText="1"/>
    </xf>
    <xf numFmtId="170" fontId="16" fillId="18" borderId="57" xfId="0" applyNumberFormat="1" applyFont="1" applyFill="1" applyBorder="1" applyAlignment="1">
      <alignment horizontal="center" vertical="center" wrapText="1"/>
    </xf>
    <xf numFmtId="170" fontId="16" fillId="18" borderId="5" xfId="0" applyNumberFormat="1" applyFont="1" applyFill="1" applyBorder="1" applyAlignment="1">
      <alignment horizontal="center" vertical="center" wrapText="1"/>
    </xf>
    <xf numFmtId="170" fontId="16" fillId="18" borderId="7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9933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74EA7"/>
    <pageSetUpPr fitToPage="1"/>
  </sheetPr>
  <dimension ref="A1:J343"/>
  <sheetViews>
    <sheetView tabSelected="1" zoomScale="85" zoomScaleNormal="85" workbookViewId="0">
      <pane xSplit="1" ySplit="1" topLeftCell="B311" activePane="bottomRight" state="frozen"/>
      <selection pane="topRight" activeCell="B1" sqref="B1"/>
      <selection pane="bottomLeft" activeCell="A2" sqref="A2"/>
      <selection pane="bottomRight" activeCell="C181" sqref="C181"/>
    </sheetView>
  </sheetViews>
  <sheetFormatPr baseColWidth="10" defaultColWidth="14.42578125" defaultRowHeight="15" customHeight="1" x14ac:dyDescent="0.2"/>
  <cols>
    <col min="1" max="1" width="2.7109375" customWidth="1"/>
    <col min="2" max="2" width="16.28515625" style="96" customWidth="1"/>
    <col min="3" max="3" width="14.42578125" bestFit="1" customWidth="1"/>
    <col min="4" max="4" width="34.5703125" style="72" customWidth="1"/>
    <col min="5" max="5" width="88.85546875" bestFit="1" customWidth="1"/>
    <col min="6" max="6" width="9.28515625" bestFit="1" customWidth="1"/>
    <col min="7" max="7" width="11.85546875" customWidth="1"/>
    <col min="8" max="8" width="7.7109375" hidden="1" customWidth="1"/>
    <col min="9" max="9" width="14" hidden="1" customWidth="1"/>
    <col min="10" max="10" width="0.5703125" customWidth="1"/>
    <col min="12" max="12" width="14.42578125" customWidth="1"/>
  </cols>
  <sheetData>
    <row r="1" spans="1:10" ht="24" customHeight="1" thickBot="1" x14ac:dyDescent="0.25">
      <c r="A1" s="76"/>
      <c r="B1" s="85" t="s">
        <v>82</v>
      </c>
      <c r="C1" s="83" t="s">
        <v>78</v>
      </c>
      <c r="D1" s="84" t="s">
        <v>79</v>
      </c>
      <c r="E1" s="83" t="s">
        <v>80</v>
      </c>
      <c r="F1" s="2" t="s">
        <v>0</v>
      </c>
      <c r="G1" s="82" t="s">
        <v>81</v>
      </c>
      <c r="H1" s="49" t="s">
        <v>2</v>
      </c>
      <c r="I1" s="1" t="s">
        <v>3</v>
      </c>
      <c r="J1" s="3" t="e">
        <f>+SUM(I:I)</f>
        <v>#REF!</v>
      </c>
    </row>
    <row r="2" spans="1:10" ht="18.75" customHeight="1" thickBot="1" x14ac:dyDescent="0.25">
      <c r="A2" s="205" t="s">
        <v>4</v>
      </c>
      <c r="B2" s="67">
        <v>3332002</v>
      </c>
      <c r="C2" s="67">
        <v>3332002</v>
      </c>
      <c r="D2" s="91" t="s">
        <v>85</v>
      </c>
      <c r="E2" s="63" t="s">
        <v>83</v>
      </c>
      <c r="F2" s="26">
        <v>12</v>
      </c>
      <c r="G2" s="51">
        <v>2905</v>
      </c>
      <c r="H2" s="10" t="e">
        <f>#REF!</f>
        <v>#REF!</v>
      </c>
      <c r="I2" s="4" t="e">
        <f>(#REF!*F2*G2)</f>
        <v>#REF!</v>
      </c>
      <c r="J2" s="1"/>
    </row>
    <row r="3" spans="1:10" ht="17.25" customHeight="1" thickBot="1" x14ac:dyDescent="0.25">
      <c r="A3" s="206"/>
      <c r="B3" s="67">
        <v>3332002</v>
      </c>
      <c r="C3" s="19">
        <v>3332003</v>
      </c>
      <c r="D3" s="91" t="s">
        <v>85</v>
      </c>
      <c r="E3" s="63" t="s">
        <v>84</v>
      </c>
      <c r="F3" s="26">
        <v>12</v>
      </c>
      <c r="G3" s="51">
        <v>2905</v>
      </c>
      <c r="H3" s="10" t="e">
        <f>#REF!</f>
        <v>#REF!</v>
      </c>
      <c r="I3" s="4" t="e">
        <f>(#REF!*F3*G3)</f>
        <v>#REF!</v>
      </c>
      <c r="J3" s="1"/>
    </row>
    <row r="4" spans="1:10" s="32" customFormat="1" ht="17.25" customHeight="1" thickBot="1" x14ac:dyDescent="0.25">
      <c r="A4" s="206"/>
      <c r="B4" s="41"/>
      <c r="C4" s="78">
        <v>3362013</v>
      </c>
      <c r="D4" s="99"/>
      <c r="E4" s="100" t="s">
        <v>86</v>
      </c>
      <c r="F4" s="20">
        <v>36</v>
      </c>
      <c r="G4" s="51">
        <v>1532.15</v>
      </c>
      <c r="H4" s="10"/>
      <c r="I4" s="4"/>
      <c r="J4" s="1"/>
    </row>
    <row r="5" spans="1:10" s="39" customFormat="1" ht="17.25" customHeight="1" thickBot="1" x14ac:dyDescent="0.25">
      <c r="A5" s="206"/>
      <c r="B5" s="67">
        <v>3362012</v>
      </c>
      <c r="C5" s="87">
        <v>3362012</v>
      </c>
      <c r="D5" s="77" t="s">
        <v>87</v>
      </c>
      <c r="E5" s="71" t="s">
        <v>88</v>
      </c>
      <c r="F5" s="20">
        <v>24</v>
      </c>
      <c r="G5" s="51">
        <v>2145</v>
      </c>
      <c r="H5" s="10"/>
      <c r="I5" s="4"/>
      <c r="J5" s="1"/>
    </row>
    <row r="6" spans="1:10" s="39" customFormat="1" ht="17.25" customHeight="1" thickBot="1" x14ac:dyDescent="0.25">
      <c r="A6" s="206"/>
      <c r="B6" s="41">
        <v>3362012</v>
      </c>
      <c r="C6" s="101">
        <v>3362014</v>
      </c>
      <c r="D6" s="102" t="s">
        <v>87</v>
      </c>
      <c r="E6" s="61" t="s">
        <v>89</v>
      </c>
      <c r="F6" s="20">
        <v>24</v>
      </c>
      <c r="G6" s="51">
        <v>3407.48</v>
      </c>
      <c r="H6" s="10"/>
      <c r="I6" s="4"/>
      <c r="J6" s="1"/>
    </row>
    <row r="7" spans="1:10" s="11" customFormat="1" ht="17.25" customHeight="1" thickBot="1" x14ac:dyDescent="0.25">
      <c r="A7" s="206"/>
      <c r="B7" s="67">
        <v>3343236</v>
      </c>
      <c r="C7" s="33">
        <v>3343236</v>
      </c>
      <c r="D7" s="92" t="s">
        <v>91</v>
      </c>
      <c r="E7" s="70" t="s">
        <v>90</v>
      </c>
      <c r="F7" s="20">
        <v>12</v>
      </c>
      <c r="G7" s="51">
        <v>2451.4299999999998</v>
      </c>
      <c r="H7" s="10"/>
      <c r="I7" s="4"/>
      <c r="J7" s="1"/>
    </row>
    <row r="8" spans="1:10" ht="17.25" customHeight="1" thickBot="1" x14ac:dyDescent="0.25">
      <c r="A8" s="206"/>
      <c r="B8" s="67">
        <v>3343236</v>
      </c>
      <c r="C8" s="34">
        <v>3343232</v>
      </c>
      <c r="D8" s="92" t="s">
        <v>91</v>
      </c>
      <c r="E8" s="60" t="s">
        <v>97</v>
      </c>
      <c r="F8" s="26">
        <v>12</v>
      </c>
      <c r="G8" s="51">
        <v>2451.4299999999998</v>
      </c>
      <c r="H8" s="10" t="e">
        <f>#REF!</f>
        <v>#REF!</v>
      </c>
      <c r="I8" s="4" t="e">
        <f>(#REF!*F8*G8)</f>
        <v>#REF!</v>
      </c>
      <c r="J8" s="1"/>
    </row>
    <row r="9" spans="1:10" ht="17.25" customHeight="1" thickBot="1" x14ac:dyDescent="0.25">
      <c r="A9" s="206"/>
      <c r="B9" s="67">
        <v>3343236</v>
      </c>
      <c r="C9" s="34">
        <v>3343441</v>
      </c>
      <c r="D9" s="92" t="s">
        <v>91</v>
      </c>
      <c r="E9" s="60" t="s">
        <v>92</v>
      </c>
      <c r="F9" s="26">
        <v>12</v>
      </c>
      <c r="G9" s="51">
        <v>3615.85</v>
      </c>
      <c r="H9" s="10" t="e">
        <f>#REF!</f>
        <v>#REF!</v>
      </c>
      <c r="I9" s="4" t="e">
        <f>(#REF!*F9*G9)</f>
        <v>#REF!</v>
      </c>
      <c r="J9" s="1"/>
    </row>
    <row r="10" spans="1:10" ht="17.25" customHeight="1" thickBot="1" x14ac:dyDescent="0.25">
      <c r="A10" s="206"/>
      <c r="B10" s="67">
        <v>3343236</v>
      </c>
      <c r="C10" s="34">
        <v>3343442</v>
      </c>
      <c r="D10" s="92" t="s">
        <v>91</v>
      </c>
      <c r="E10" s="60" t="s">
        <v>93</v>
      </c>
      <c r="F10" s="26">
        <v>12</v>
      </c>
      <c r="G10" s="51">
        <v>3615.85</v>
      </c>
      <c r="H10" s="10" t="e">
        <f>#REF!</f>
        <v>#REF!</v>
      </c>
      <c r="I10" s="4" t="e">
        <f>(#REF!*F10*G10)</f>
        <v>#REF!</v>
      </c>
      <c r="J10" s="1"/>
    </row>
    <row r="11" spans="1:10" s="72" customFormat="1" ht="17.25" customHeight="1" thickBot="1" x14ac:dyDescent="0.25">
      <c r="A11" s="206"/>
      <c r="B11" s="67">
        <v>3343236</v>
      </c>
      <c r="C11" s="34">
        <v>3343751</v>
      </c>
      <c r="D11" s="92" t="s">
        <v>91</v>
      </c>
      <c r="E11" s="60" t="s">
        <v>95</v>
      </c>
      <c r="F11" s="26">
        <v>7</v>
      </c>
      <c r="G11" s="51">
        <v>4902.8500000000004</v>
      </c>
      <c r="H11" s="10"/>
      <c r="I11" s="4"/>
      <c r="J11" s="1"/>
    </row>
    <row r="12" spans="1:10" s="72" customFormat="1" ht="17.25" customHeight="1" thickBot="1" x14ac:dyDescent="0.25">
      <c r="A12" s="206"/>
      <c r="B12" s="67">
        <v>3343236</v>
      </c>
      <c r="C12" s="34">
        <v>3343752</v>
      </c>
      <c r="D12" s="92" t="s">
        <v>91</v>
      </c>
      <c r="E12" s="60" t="s">
        <v>96</v>
      </c>
      <c r="F12" s="26">
        <v>7</v>
      </c>
      <c r="G12" s="51">
        <v>4902.8500000000004</v>
      </c>
      <c r="H12" s="10"/>
      <c r="I12" s="4"/>
      <c r="J12" s="1"/>
    </row>
    <row r="13" spans="1:10" s="16" customFormat="1" ht="17.25" customHeight="1" thickBot="1" x14ac:dyDescent="0.25">
      <c r="A13" s="206"/>
      <c r="B13" s="67">
        <v>3345441</v>
      </c>
      <c r="C13" s="34">
        <v>3345441</v>
      </c>
      <c r="D13" s="92" t="s">
        <v>94</v>
      </c>
      <c r="E13" s="60" t="s">
        <v>112</v>
      </c>
      <c r="F13" s="20">
        <v>12</v>
      </c>
      <c r="G13" s="51">
        <v>3615.85</v>
      </c>
      <c r="H13" s="10" t="e">
        <f>#REF!</f>
        <v>#REF!</v>
      </c>
      <c r="I13" s="4" t="e">
        <f>(#REF!*F13*G13)</f>
        <v>#REF!</v>
      </c>
      <c r="J13" s="1"/>
    </row>
    <row r="14" spans="1:10" s="16" customFormat="1" ht="17.25" customHeight="1" thickBot="1" x14ac:dyDescent="0.25">
      <c r="A14" s="206"/>
      <c r="B14" s="41">
        <v>3345441</v>
      </c>
      <c r="C14" s="41">
        <v>3345442</v>
      </c>
      <c r="D14" s="99" t="s">
        <v>94</v>
      </c>
      <c r="E14" s="62" t="s">
        <v>111</v>
      </c>
      <c r="F14" s="20">
        <v>12</v>
      </c>
      <c r="G14" s="51">
        <v>3615.85</v>
      </c>
      <c r="H14" s="10" t="e">
        <f>#REF!</f>
        <v>#REF!</v>
      </c>
      <c r="I14" s="4" t="e">
        <f>(#REF!*F14*G14)</f>
        <v>#REF!</v>
      </c>
      <c r="J14" s="1"/>
    </row>
    <row r="15" spans="1:10" ht="17.25" customHeight="1" thickBot="1" x14ac:dyDescent="0.25">
      <c r="A15" s="206"/>
      <c r="B15" s="67">
        <v>3367234</v>
      </c>
      <c r="C15" s="67">
        <v>3367234</v>
      </c>
      <c r="D15" s="97" t="s">
        <v>98</v>
      </c>
      <c r="E15" s="63" t="s">
        <v>99</v>
      </c>
      <c r="F15" s="22">
        <v>12</v>
      </c>
      <c r="G15" s="51">
        <v>3493.29</v>
      </c>
      <c r="H15" s="10" t="e">
        <f>#REF!</f>
        <v>#REF!</v>
      </c>
      <c r="I15" s="4" t="e">
        <f>(#REF!*F11*G11)</f>
        <v>#REF!</v>
      </c>
      <c r="J15" s="1"/>
    </row>
    <row r="16" spans="1:10" ht="17.25" customHeight="1" thickBot="1" x14ac:dyDescent="0.25">
      <c r="A16" s="206"/>
      <c r="B16" s="67">
        <v>3367234</v>
      </c>
      <c r="C16" s="34">
        <v>3367235</v>
      </c>
      <c r="D16" s="97" t="s">
        <v>98</v>
      </c>
      <c r="E16" s="60" t="s">
        <v>100</v>
      </c>
      <c r="F16" s="14">
        <v>12</v>
      </c>
      <c r="G16" s="51">
        <v>4780.29</v>
      </c>
      <c r="H16" s="10" t="e">
        <f>#REF!</f>
        <v>#REF!</v>
      </c>
      <c r="I16" s="4" t="e">
        <f>(#REF!*F12*G12)</f>
        <v>#REF!</v>
      </c>
      <c r="J16" s="1"/>
    </row>
    <row r="17" spans="1:10" ht="17.25" customHeight="1" thickBot="1" x14ac:dyDescent="0.25">
      <c r="A17" s="206"/>
      <c r="B17" s="67">
        <v>3330619</v>
      </c>
      <c r="C17" s="34">
        <v>3330619</v>
      </c>
      <c r="D17" s="92" t="s">
        <v>101</v>
      </c>
      <c r="E17" s="60" t="s">
        <v>102</v>
      </c>
      <c r="F17" s="22">
        <v>15</v>
      </c>
      <c r="G17" s="51">
        <v>3003</v>
      </c>
      <c r="H17" s="10" t="e">
        <f>#REF!</f>
        <v>#REF!</v>
      </c>
      <c r="I17" s="4" t="e">
        <f>(#REF!*F15*G15)</f>
        <v>#REF!</v>
      </c>
      <c r="J17" s="1"/>
    </row>
    <row r="18" spans="1:10" s="28" customFormat="1" ht="17.25" customHeight="1" thickBot="1" x14ac:dyDescent="0.25">
      <c r="A18" s="206"/>
      <c r="B18" s="67">
        <v>3330619</v>
      </c>
      <c r="C18" s="34">
        <v>3330618</v>
      </c>
      <c r="D18" s="92" t="s">
        <v>101</v>
      </c>
      <c r="E18" s="60" t="s">
        <v>103</v>
      </c>
      <c r="F18" s="22">
        <v>12</v>
      </c>
      <c r="G18" s="51">
        <v>3407.48</v>
      </c>
      <c r="H18" s="10"/>
      <c r="I18" s="4" t="e">
        <f>(#REF!*F16*G16)</f>
        <v>#REF!</v>
      </c>
      <c r="J18" s="1"/>
    </row>
    <row r="19" spans="1:10" s="7" customFormat="1" ht="17.25" customHeight="1" thickBot="1" x14ac:dyDescent="0.25">
      <c r="A19" s="206"/>
      <c r="B19" s="67">
        <v>3362008</v>
      </c>
      <c r="C19" s="34">
        <v>3362008</v>
      </c>
      <c r="D19" s="92" t="s">
        <v>104</v>
      </c>
      <c r="E19" s="60" t="s">
        <v>105</v>
      </c>
      <c r="F19" s="14">
        <v>12</v>
      </c>
      <c r="G19" s="51">
        <v>4167.43</v>
      </c>
      <c r="H19" s="10" t="e">
        <f>#REF!</f>
        <v>#REF!</v>
      </c>
      <c r="I19" s="4" t="e">
        <f>(#REF!*F17*G17)</f>
        <v>#REF!</v>
      </c>
      <c r="J19" s="1"/>
    </row>
    <row r="20" spans="1:10" ht="17.25" customHeight="1" thickBot="1" x14ac:dyDescent="0.25">
      <c r="A20" s="206"/>
      <c r="B20" s="103">
        <v>3362008</v>
      </c>
      <c r="C20" s="103">
        <v>3362007</v>
      </c>
      <c r="D20" s="104" t="s">
        <v>104</v>
      </c>
      <c r="E20" s="105" t="s">
        <v>106</v>
      </c>
      <c r="F20" s="14">
        <v>8</v>
      </c>
      <c r="G20" s="51">
        <v>3677.13</v>
      </c>
      <c r="H20" s="10" t="e">
        <f>#REF!</f>
        <v>#REF!</v>
      </c>
      <c r="I20" s="4" t="e">
        <f>(#REF!*F18*G18)</f>
        <v>#REF!</v>
      </c>
      <c r="J20" s="1"/>
    </row>
    <row r="21" spans="1:10" s="15" customFormat="1" ht="17.25" customHeight="1" thickBot="1" x14ac:dyDescent="0.25">
      <c r="A21" s="206"/>
      <c r="B21" s="67">
        <v>3340362</v>
      </c>
      <c r="C21" s="67">
        <v>3340362</v>
      </c>
      <c r="D21" s="98" t="s">
        <v>107</v>
      </c>
      <c r="E21" s="60" t="s">
        <v>108</v>
      </c>
      <c r="F21" s="22">
        <v>12</v>
      </c>
      <c r="G21" s="51">
        <v>2880.43</v>
      </c>
      <c r="H21" s="10" t="e">
        <f>#REF!</f>
        <v>#REF!</v>
      </c>
      <c r="I21" s="4" t="e">
        <f>(#REF!*F19*G19)</f>
        <v>#REF!</v>
      </c>
      <c r="J21" s="1"/>
    </row>
    <row r="22" spans="1:10" s="15" customFormat="1" ht="17.25" customHeight="1" thickBot="1" x14ac:dyDescent="0.25">
      <c r="A22" s="206"/>
      <c r="B22" s="67">
        <v>3340362</v>
      </c>
      <c r="C22" s="46">
        <v>3340365</v>
      </c>
      <c r="D22" s="98" t="s">
        <v>107</v>
      </c>
      <c r="E22" s="60" t="s">
        <v>109</v>
      </c>
      <c r="F22" s="14">
        <v>20</v>
      </c>
      <c r="G22" s="51">
        <v>1300</v>
      </c>
      <c r="H22" s="10" t="e">
        <f>#REF!</f>
        <v>#REF!</v>
      </c>
      <c r="I22" s="4" t="e">
        <f>(#REF!*F20*G20)</f>
        <v>#REF!</v>
      </c>
      <c r="J22" s="1"/>
    </row>
    <row r="23" spans="1:10" ht="17.25" customHeight="1" thickBot="1" x14ac:dyDescent="0.25">
      <c r="A23" s="206"/>
      <c r="B23" s="67">
        <v>3300003</v>
      </c>
      <c r="C23" s="34">
        <v>3300003</v>
      </c>
      <c r="D23" s="31"/>
      <c r="E23" s="63" t="s">
        <v>110</v>
      </c>
      <c r="F23" s="26">
        <v>12</v>
      </c>
      <c r="G23" s="51">
        <v>6986.57</v>
      </c>
      <c r="H23" s="10" t="e">
        <f>#REF!</f>
        <v>#REF!</v>
      </c>
      <c r="I23" s="4" t="e">
        <f>(#REF!*F21*G21)</f>
        <v>#REF!</v>
      </c>
      <c r="J23" s="1"/>
    </row>
    <row r="24" spans="1:10" s="43" customFormat="1" ht="17.25" customHeight="1" thickBot="1" x14ac:dyDescent="0.25">
      <c r="A24" s="206"/>
      <c r="B24" s="41">
        <v>3334001</v>
      </c>
      <c r="C24" s="41">
        <v>3334001</v>
      </c>
      <c r="D24" s="99" t="s">
        <v>113</v>
      </c>
      <c r="E24" s="62" t="s">
        <v>114</v>
      </c>
      <c r="F24" s="40">
        <v>4</v>
      </c>
      <c r="G24" s="52">
        <v>11019.16</v>
      </c>
      <c r="H24" s="10"/>
      <c r="I24" s="4" t="e">
        <f>(#REF!*F22*G22)</f>
        <v>#REF!</v>
      </c>
      <c r="J24" s="1"/>
    </row>
    <row r="25" spans="1:10" ht="17.25" customHeight="1" thickBot="1" x14ac:dyDescent="0.25">
      <c r="A25" s="206"/>
      <c r="B25" s="41">
        <v>3334001</v>
      </c>
      <c r="C25" s="41">
        <v>3334002</v>
      </c>
      <c r="D25" s="99" t="s">
        <v>113</v>
      </c>
      <c r="E25" s="62" t="s">
        <v>115</v>
      </c>
      <c r="F25" s="40">
        <v>4</v>
      </c>
      <c r="G25" s="52">
        <v>11019.16</v>
      </c>
      <c r="H25" s="10" t="e">
        <f>#REF!</f>
        <v>#REF!</v>
      </c>
      <c r="I25" s="4" t="e">
        <f>(#REF!*F23*G23)</f>
        <v>#REF!</v>
      </c>
      <c r="J25" s="1"/>
    </row>
    <row r="26" spans="1:10" s="58" customFormat="1" ht="17.25" customHeight="1" thickBot="1" x14ac:dyDescent="0.25">
      <c r="A26" s="206"/>
      <c r="B26" s="41">
        <v>3334001</v>
      </c>
      <c r="C26" s="34">
        <v>3362001</v>
      </c>
      <c r="D26" s="92" t="s">
        <v>116</v>
      </c>
      <c r="E26" s="60" t="s">
        <v>117</v>
      </c>
      <c r="F26" s="26">
        <v>48</v>
      </c>
      <c r="G26" s="51">
        <v>1078.6300000000001</v>
      </c>
      <c r="H26" s="10"/>
      <c r="I26" s="4" t="e">
        <f>(#REF!*F24*G24)</f>
        <v>#REF!</v>
      </c>
      <c r="J26" s="1"/>
    </row>
    <row r="27" spans="1:10" s="58" customFormat="1" ht="17.25" customHeight="1" thickBot="1" x14ac:dyDescent="0.25">
      <c r="A27" s="206"/>
      <c r="B27" s="41">
        <v>3334001</v>
      </c>
      <c r="C27" s="34">
        <v>3362002</v>
      </c>
      <c r="D27" s="92" t="s">
        <v>116</v>
      </c>
      <c r="E27" s="64">
        <v>48</v>
      </c>
      <c r="F27" s="26">
        <v>24</v>
      </c>
      <c r="G27" s="51">
        <v>2145</v>
      </c>
      <c r="H27" s="10"/>
      <c r="I27" s="4" t="e">
        <f>(#REF!*F25*G25)</f>
        <v>#REF!</v>
      </c>
      <c r="J27" s="1"/>
    </row>
    <row r="28" spans="1:10" ht="17.25" customHeight="1" thickBot="1" x14ac:dyDescent="0.25">
      <c r="A28" s="206"/>
      <c r="B28" s="41">
        <v>3334001</v>
      </c>
      <c r="C28" s="34">
        <v>3362003</v>
      </c>
      <c r="D28" s="92" t="s">
        <v>116</v>
      </c>
      <c r="E28" s="60" t="s">
        <v>118</v>
      </c>
      <c r="F28" s="26">
        <v>24</v>
      </c>
      <c r="G28" s="51">
        <v>2819.15</v>
      </c>
      <c r="H28" s="10" t="e">
        <f>#REF!</f>
        <v>#REF!</v>
      </c>
      <c r="I28" s="4" t="e">
        <f>(#REF!*F26*G26)</f>
        <v>#REF!</v>
      </c>
      <c r="J28" s="1"/>
    </row>
    <row r="29" spans="1:10" ht="17.25" customHeight="1" thickBot="1" x14ac:dyDescent="0.25">
      <c r="A29" s="206"/>
      <c r="B29" s="41">
        <v>3334001</v>
      </c>
      <c r="C29" s="34">
        <v>3362004</v>
      </c>
      <c r="D29" s="92" t="s">
        <v>116</v>
      </c>
      <c r="E29" s="60" t="s">
        <v>119</v>
      </c>
      <c r="F29" s="26">
        <v>18</v>
      </c>
      <c r="G29" s="51">
        <v>3799.71</v>
      </c>
      <c r="H29" s="10" t="e">
        <f>#REF!</f>
        <v>#REF!</v>
      </c>
      <c r="I29" s="4" t="e">
        <f>(#REF!*F27*G27)</f>
        <v>#REF!</v>
      </c>
      <c r="J29" s="1"/>
    </row>
    <row r="30" spans="1:10" ht="17.25" customHeight="1" thickBot="1" x14ac:dyDescent="0.25">
      <c r="A30" s="206"/>
      <c r="B30" s="67">
        <v>3362009</v>
      </c>
      <c r="C30" s="34">
        <v>3362009</v>
      </c>
      <c r="D30" s="66"/>
      <c r="E30" s="60" t="s">
        <v>56</v>
      </c>
      <c r="F30" s="20">
        <v>24</v>
      </c>
      <c r="G30" s="51">
        <v>2574</v>
      </c>
      <c r="H30" s="10" t="e">
        <f>#REF!</f>
        <v>#REF!</v>
      </c>
      <c r="I30" s="4" t="e">
        <f>(#REF!*F28*G28)</f>
        <v>#REF!</v>
      </c>
      <c r="J30" s="1"/>
    </row>
    <row r="31" spans="1:10" ht="17.25" customHeight="1" thickBot="1" x14ac:dyDescent="0.25">
      <c r="A31" s="206"/>
      <c r="B31" s="67">
        <v>3369030</v>
      </c>
      <c r="C31" s="34">
        <v>3369030</v>
      </c>
      <c r="D31" s="92" t="s">
        <v>120</v>
      </c>
      <c r="E31" s="60" t="s">
        <v>121</v>
      </c>
      <c r="F31" s="26">
        <v>30</v>
      </c>
      <c r="G31" s="51">
        <v>2267.56</v>
      </c>
      <c r="H31" s="10" t="e">
        <f>#REF!</f>
        <v>#REF!</v>
      </c>
      <c r="I31" s="4" t="e">
        <f>(#REF!*F29*G29)</f>
        <v>#REF!</v>
      </c>
      <c r="J31" s="1"/>
    </row>
    <row r="32" spans="1:10" s="25" customFormat="1" ht="17.25" customHeight="1" thickBot="1" x14ac:dyDescent="0.25">
      <c r="A32" s="206"/>
      <c r="B32" s="67">
        <v>3369030</v>
      </c>
      <c r="C32" s="34">
        <v>3369031</v>
      </c>
      <c r="D32" s="92" t="s">
        <v>120</v>
      </c>
      <c r="E32" s="60" t="s">
        <v>122</v>
      </c>
      <c r="F32" s="14">
        <v>24</v>
      </c>
      <c r="G32" s="51">
        <v>1593.43</v>
      </c>
      <c r="H32" s="10"/>
      <c r="I32" s="4" t="e">
        <f>(#REF!*F30*G30)</f>
        <v>#REF!</v>
      </c>
      <c r="J32" s="1"/>
    </row>
    <row r="33" spans="1:10" ht="17.25" customHeight="1" thickBot="1" x14ac:dyDescent="0.25">
      <c r="A33" s="206"/>
      <c r="B33" s="67">
        <v>3340001</v>
      </c>
      <c r="C33" s="34">
        <v>3340001</v>
      </c>
      <c r="D33" s="92" t="s">
        <v>123</v>
      </c>
      <c r="E33" s="60" t="s">
        <v>124</v>
      </c>
      <c r="F33" s="22">
        <v>45</v>
      </c>
      <c r="G33" s="51">
        <v>1048</v>
      </c>
      <c r="H33" s="10" t="e">
        <f>#REF!</f>
        <v>#REF!</v>
      </c>
      <c r="I33" s="4" t="e">
        <f>(#REF!*F31*G31)</f>
        <v>#REF!</v>
      </c>
      <c r="J33" s="1"/>
    </row>
    <row r="34" spans="1:10" s="29" customFormat="1" ht="17.25" customHeight="1" thickBot="1" x14ac:dyDescent="0.25">
      <c r="A34" s="206"/>
      <c r="B34" s="67">
        <v>3340001</v>
      </c>
      <c r="C34" s="41">
        <v>3340004</v>
      </c>
      <c r="D34" s="92" t="s">
        <v>123</v>
      </c>
      <c r="E34" s="62" t="s">
        <v>125</v>
      </c>
      <c r="F34" s="44">
        <v>24</v>
      </c>
      <c r="G34" s="52">
        <v>870.25</v>
      </c>
      <c r="H34" s="10"/>
      <c r="I34" s="4" t="e">
        <f>(#REF!*F32*G32)</f>
        <v>#REF!</v>
      </c>
      <c r="J34" s="1"/>
    </row>
    <row r="35" spans="1:10" ht="17.25" customHeight="1" thickBot="1" x14ac:dyDescent="0.25">
      <c r="A35" s="206"/>
      <c r="B35" s="67">
        <v>3343233</v>
      </c>
      <c r="C35" s="34">
        <v>3343233</v>
      </c>
      <c r="D35" s="92" t="s">
        <v>126</v>
      </c>
      <c r="E35" s="60" t="s">
        <v>36</v>
      </c>
      <c r="F35" s="14">
        <v>11</v>
      </c>
      <c r="G35" s="51">
        <v>4473.8500000000004</v>
      </c>
      <c r="H35" s="10" t="e">
        <f>#REF!</f>
        <v>#REF!</v>
      </c>
      <c r="I35" s="4" t="e">
        <f>(#REF!*F33*G33)</f>
        <v>#REF!</v>
      </c>
      <c r="J35" s="1"/>
    </row>
    <row r="36" spans="1:10" s="45" customFormat="1" ht="17.25" customHeight="1" thickBot="1" x14ac:dyDescent="0.25">
      <c r="A36" s="206"/>
      <c r="B36" s="67">
        <v>3343233</v>
      </c>
      <c r="C36" s="34">
        <v>3345233</v>
      </c>
      <c r="D36" s="92" t="s">
        <v>126</v>
      </c>
      <c r="E36" s="60" t="s">
        <v>37</v>
      </c>
      <c r="F36" s="14">
        <v>11</v>
      </c>
      <c r="G36" s="51">
        <v>4473.8500000000004</v>
      </c>
      <c r="H36" s="10"/>
      <c r="I36" s="4" t="e">
        <f>(#REF!*F34*G34)</f>
        <v>#REF!</v>
      </c>
      <c r="J36" s="1"/>
    </row>
    <row r="37" spans="1:10" s="8" customFormat="1" ht="17.25" customHeight="1" thickBot="1" x14ac:dyDescent="0.25">
      <c r="A37" s="206"/>
      <c r="B37" s="67">
        <v>3343233</v>
      </c>
      <c r="C37" s="34">
        <v>3332006</v>
      </c>
      <c r="D37" s="92" t="s">
        <v>126</v>
      </c>
      <c r="E37" s="60" t="s">
        <v>40</v>
      </c>
      <c r="F37" s="14">
        <v>12</v>
      </c>
      <c r="G37" s="51">
        <v>7354.29</v>
      </c>
      <c r="H37" s="10" t="e">
        <f>#REF!</f>
        <v>#REF!</v>
      </c>
      <c r="I37" s="4" t="e">
        <f>(#REF!*F35*G35)</f>
        <v>#REF!</v>
      </c>
      <c r="J37" s="1"/>
    </row>
    <row r="38" spans="1:10" s="8" customFormat="1" ht="17.25" customHeight="1" thickBot="1" x14ac:dyDescent="0.25">
      <c r="A38" s="206"/>
      <c r="B38" s="67">
        <v>6043102</v>
      </c>
      <c r="C38" s="34">
        <v>6043102</v>
      </c>
      <c r="D38" s="106" t="s">
        <v>127</v>
      </c>
      <c r="E38" s="107" t="s">
        <v>128</v>
      </c>
      <c r="F38" s="26">
        <v>12</v>
      </c>
      <c r="G38" s="51">
        <v>2451.4299999999998</v>
      </c>
      <c r="H38" s="10" t="e">
        <f>#REF!</f>
        <v>#REF!</v>
      </c>
      <c r="I38" s="4" t="e">
        <f>(#REF!*F36*G36)</f>
        <v>#REF!</v>
      </c>
      <c r="J38" s="1"/>
    </row>
    <row r="39" spans="1:10" s="8" customFormat="1" ht="17.25" customHeight="1" thickBot="1" x14ac:dyDescent="0.25">
      <c r="A39" s="206"/>
      <c r="B39" s="67">
        <v>6043102</v>
      </c>
      <c r="C39" s="34">
        <v>6043103</v>
      </c>
      <c r="D39" s="106" t="s">
        <v>127</v>
      </c>
      <c r="E39" s="107" t="s">
        <v>129</v>
      </c>
      <c r="F39" s="26">
        <v>12</v>
      </c>
      <c r="G39" s="51">
        <v>2451.4299999999998</v>
      </c>
      <c r="H39" s="10" t="e">
        <f>#REF!</f>
        <v>#REF!</v>
      </c>
      <c r="I39" s="4" t="e">
        <f>(#REF!*F37*G37)</f>
        <v>#REF!</v>
      </c>
      <c r="J39" s="1"/>
    </row>
    <row r="40" spans="1:10" ht="17.25" customHeight="1" thickBot="1" x14ac:dyDescent="0.25">
      <c r="A40" s="206"/>
      <c r="B40" s="67">
        <v>6043102</v>
      </c>
      <c r="C40" s="34">
        <v>6043104</v>
      </c>
      <c r="D40" s="106" t="s">
        <v>127</v>
      </c>
      <c r="E40" s="107" t="s">
        <v>130</v>
      </c>
      <c r="F40" s="26">
        <v>12</v>
      </c>
      <c r="G40" s="51">
        <v>2451.4299999999998</v>
      </c>
      <c r="H40" s="10" t="e">
        <f>#REF!</f>
        <v>#REF!</v>
      </c>
      <c r="I40" s="4" t="e">
        <f>(#REF!*F38*G38)</f>
        <v>#REF!</v>
      </c>
      <c r="J40" s="1"/>
    </row>
    <row r="41" spans="1:10" ht="17.25" customHeight="1" x14ac:dyDescent="0.2">
      <c r="A41" s="206"/>
      <c r="B41" s="88">
        <v>6045111</v>
      </c>
      <c r="C41" s="88">
        <v>6045111</v>
      </c>
      <c r="D41" s="79"/>
      <c r="E41" s="65" t="s">
        <v>5</v>
      </c>
      <c r="F41" s="36">
        <v>12</v>
      </c>
      <c r="G41" s="53">
        <v>2451.4299999999998</v>
      </c>
      <c r="H41" s="10" t="e">
        <f>#REF!</f>
        <v>#REF!</v>
      </c>
      <c r="I41" s="4" t="e">
        <f>(#REF!*F39*G39)</f>
        <v>#REF!</v>
      </c>
      <c r="J41" s="1"/>
    </row>
    <row r="42" spans="1:10" ht="17.25" customHeight="1" x14ac:dyDescent="0.2">
      <c r="A42" s="206"/>
      <c r="B42" s="81">
        <v>6040929</v>
      </c>
      <c r="C42" s="89">
        <v>6032101</v>
      </c>
      <c r="D42" s="108" t="s">
        <v>131</v>
      </c>
      <c r="E42" s="73" t="s">
        <v>57</v>
      </c>
      <c r="F42" s="56">
        <v>12</v>
      </c>
      <c r="G42" s="57">
        <v>4902.8500000000004</v>
      </c>
      <c r="H42" s="10" t="e">
        <f>#REF!</f>
        <v>#REF!</v>
      </c>
      <c r="I42" s="4" t="e">
        <f>(#REF!*F40*G40)</f>
        <v>#REF!</v>
      </c>
      <c r="J42" s="1"/>
    </row>
    <row r="43" spans="1:10" ht="17.25" customHeight="1" x14ac:dyDescent="0.2">
      <c r="A43" s="206"/>
      <c r="B43" s="81">
        <v>6040929</v>
      </c>
      <c r="C43" s="80">
        <v>6000101</v>
      </c>
      <c r="D43" s="109" t="s">
        <v>131</v>
      </c>
      <c r="E43" s="73" t="s">
        <v>55</v>
      </c>
      <c r="F43" s="56">
        <v>8</v>
      </c>
      <c r="G43" s="57">
        <v>9315.43</v>
      </c>
      <c r="H43" s="10" t="e">
        <f>#REF!</f>
        <v>#REF!</v>
      </c>
      <c r="I43" s="4" t="e">
        <f>(#REF!*F41*G41)</f>
        <v>#REF!</v>
      </c>
      <c r="J43" s="1"/>
    </row>
    <row r="44" spans="1:10" s="18" customFormat="1" ht="17.25" customHeight="1" thickBot="1" x14ac:dyDescent="0.25">
      <c r="A44" s="30"/>
      <c r="B44" s="81">
        <v>6040929</v>
      </c>
      <c r="C44" s="81">
        <v>6040929</v>
      </c>
      <c r="D44" s="81" t="s">
        <v>131</v>
      </c>
      <c r="E44" s="68" t="s">
        <v>58</v>
      </c>
      <c r="F44" s="48">
        <v>12</v>
      </c>
      <c r="G44" s="59">
        <v>5760.85</v>
      </c>
      <c r="H44" s="10" t="e">
        <f>#REF!</f>
        <v>#REF!</v>
      </c>
      <c r="I44" s="4" t="e">
        <f>(#REF!*F44*G44)</f>
        <v>#REF!</v>
      </c>
      <c r="J44" s="1"/>
    </row>
    <row r="45" spans="1:10" ht="18" customHeight="1" thickBot="1" x14ac:dyDescent="0.25">
      <c r="A45" s="47"/>
      <c r="B45" s="90"/>
      <c r="C45" s="209" t="s">
        <v>38</v>
      </c>
      <c r="D45" s="209"/>
      <c r="E45" s="210"/>
      <c r="F45" s="2" t="s">
        <v>0</v>
      </c>
      <c r="G45" s="54" t="s">
        <v>1</v>
      </c>
      <c r="H45" s="10"/>
      <c r="I45" s="4"/>
      <c r="J45" s="1"/>
    </row>
    <row r="46" spans="1:10" ht="17.25" customHeight="1" thickBot="1" x14ac:dyDescent="0.25">
      <c r="A46" s="207" t="s">
        <v>6</v>
      </c>
      <c r="B46" s="67">
        <v>2840350</v>
      </c>
      <c r="C46" s="19">
        <v>2840350</v>
      </c>
      <c r="D46" s="66"/>
      <c r="E46" s="64" t="s">
        <v>7</v>
      </c>
      <c r="F46" s="26">
        <v>12</v>
      </c>
      <c r="G46" s="51">
        <v>9903.76</v>
      </c>
      <c r="H46" s="10" t="e">
        <f>#REF!</f>
        <v>#REF!</v>
      </c>
      <c r="I46" s="4" t="e">
        <f>(#REF!*F46*G46)</f>
        <v>#REF!</v>
      </c>
      <c r="J46" s="1"/>
    </row>
    <row r="47" spans="1:10" ht="17.25" customHeight="1" thickBot="1" x14ac:dyDescent="0.25">
      <c r="A47" s="208"/>
      <c r="B47" s="67">
        <v>2832057</v>
      </c>
      <c r="C47" s="19">
        <v>2832057</v>
      </c>
      <c r="D47" s="66"/>
      <c r="E47" s="64" t="s">
        <v>8</v>
      </c>
      <c r="F47" s="26">
        <v>12</v>
      </c>
      <c r="G47" s="51">
        <v>4841.5600000000004</v>
      </c>
      <c r="H47" s="10" t="e">
        <f>#REF!</f>
        <v>#REF!</v>
      </c>
      <c r="I47" s="4" t="e">
        <f>(#REF!*F47*G47)</f>
        <v>#REF!</v>
      </c>
      <c r="J47" s="1"/>
    </row>
    <row r="48" spans="1:10" ht="17.25" customHeight="1" thickBot="1" x14ac:dyDescent="0.25">
      <c r="A48" s="208"/>
      <c r="B48" s="67">
        <v>2832060</v>
      </c>
      <c r="C48" s="34">
        <v>2832060</v>
      </c>
      <c r="D48" s="66"/>
      <c r="E48" s="60" t="s">
        <v>41</v>
      </c>
      <c r="F48" s="26">
        <v>12</v>
      </c>
      <c r="G48" s="51">
        <v>4596.42</v>
      </c>
      <c r="H48" s="10" t="e">
        <f>#REF!</f>
        <v>#REF!</v>
      </c>
      <c r="I48" s="4" t="e">
        <f>(#REF!*F48*G48)</f>
        <v>#REF!</v>
      </c>
      <c r="J48" s="1"/>
    </row>
    <row r="49" spans="1:10" ht="17.25" customHeight="1" thickBot="1" x14ac:dyDescent="0.25">
      <c r="A49" s="208"/>
      <c r="B49" s="67">
        <v>2832061</v>
      </c>
      <c r="C49" s="34">
        <v>2832061</v>
      </c>
      <c r="D49" s="66"/>
      <c r="E49" s="64" t="s">
        <v>9</v>
      </c>
      <c r="F49" s="37">
        <v>12</v>
      </c>
      <c r="G49" s="51">
        <v>7231.72</v>
      </c>
      <c r="H49" s="10" t="e">
        <f>#REF!</f>
        <v>#REF!</v>
      </c>
      <c r="I49" s="4" t="e">
        <f>(#REF!*F49*G49)</f>
        <v>#REF!</v>
      </c>
      <c r="J49" s="1"/>
    </row>
    <row r="50" spans="1:10" s="25" customFormat="1" ht="17.25" customHeight="1" thickBot="1" x14ac:dyDescent="0.25">
      <c r="A50" s="208"/>
      <c r="B50" s="67">
        <v>2840882</v>
      </c>
      <c r="C50" s="34">
        <v>2840882</v>
      </c>
      <c r="D50" s="66"/>
      <c r="E50" s="64" t="s">
        <v>132</v>
      </c>
      <c r="F50" s="20">
        <v>12</v>
      </c>
      <c r="G50" s="51">
        <v>5760.85</v>
      </c>
      <c r="H50" s="10" t="e">
        <f>#REF!</f>
        <v>#REF!</v>
      </c>
      <c r="I50" s="4" t="e">
        <f>(#REF!*F50*G50)</f>
        <v>#REF!</v>
      </c>
      <c r="J50" s="1"/>
    </row>
    <row r="51" spans="1:10" s="8" customFormat="1" ht="17.25" customHeight="1" thickBot="1" x14ac:dyDescent="0.25">
      <c r="A51" s="208"/>
      <c r="B51" s="67">
        <v>2932006</v>
      </c>
      <c r="C51" s="34">
        <v>2932006</v>
      </c>
      <c r="D51" s="92" t="s">
        <v>133</v>
      </c>
      <c r="E51" s="60" t="s">
        <v>134</v>
      </c>
      <c r="F51" s="20">
        <v>12</v>
      </c>
      <c r="G51" s="51">
        <v>4596.42</v>
      </c>
      <c r="H51" s="10" t="e">
        <f>#REF!</f>
        <v>#REF!</v>
      </c>
      <c r="I51" s="4" t="e">
        <f>(#REF!*F51*G51)</f>
        <v>#REF!</v>
      </c>
      <c r="J51" s="1"/>
    </row>
    <row r="52" spans="1:10" s="17" customFormat="1" ht="17.25" customHeight="1" thickBot="1" x14ac:dyDescent="0.25">
      <c r="A52" s="208"/>
      <c r="B52" s="67">
        <v>2932006</v>
      </c>
      <c r="C52" s="34">
        <v>2943004</v>
      </c>
      <c r="D52" s="92" t="s">
        <v>133</v>
      </c>
      <c r="E52" s="60" t="s">
        <v>135</v>
      </c>
      <c r="F52" s="20">
        <v>10</v>
      </c>
      <c r="G52" s="51">
        <v>3493.29</v>
      </c>
      <c r="H52" s="10" t="e">
        <f>#REF!</f>
        <v>#REF!</v>
      </c>
      <c r="I52" s="4" t="e">
        <f>(#REF!*F52*G52)</f>
        <v>#REF!</v>
      </c>
      <c r="J52" s="1"/>
    </row>
    <row r="53" spans="1:10" s="8" customFormat="1" ht="17.25" customHeight="1" thickBot="1" x14ac:dyDescent="0.25">
      <c r="A53" s="208"/>
      <c r="B53" s="67">
        <v>2932006</v>
      </c>
      <c r="C53" s="34">
        <v>2900004</v>
      </c>
      <c r="D53" s="92" t="s">
        <v>133</v>
      </c>
      <c r="E53" s="60" t="s">
        <v>136</v>
      </c>
      <c r="F53" s="20">
        <v>12</v>
      </c>
      <c r="G53" s="51">
        <v>7231.72</v>
      </c>
      <c r="H53" s="10" t="e">
        <f>#REF!</f>
        <v>#REF!</v>
      </c>
      <c r="I53" s="4" t="e">
        <f>(#REF!*F53*G53)</f>
        <v>#REF!</v>
      </c>
      <c r="J53" s="1"/>
    </row>
    <row r="54" spans="1:10" s="21" customFormat="1" ht="17.25" customHeight="1" thickBot="1" x14ac:dyDescent="0.25">
      <c r="A54" s="208"/>
      <c r="B54" s="67">
        <v>2932006</v>
      </c>
      <c r="C54" s="34">
        <v>2940007</v>
      </c>
      <c r="D54" s="92" t="s">
        <v>133</v>
      </c>
      <c r="E54" s="60" t="s">
        <v>137</v>
      </c>
      <c r="F54" s="20">
        <v>12</v>
      </c>
      <c r="G54" s="51">
        <v>5760.85</v>
      </c>
      <c r="H54" s="10" t="e">
        <f>#REF!</f>
        <v>#REF!</v>
      </c>
      <c r="I54" s="4" t="e">
        <f>(#REF!*F54*G54)</f>
        <v>#REF!</v>
      </c>
      <c r="J54" s="1"/>
    </row>
    <row r="55" spans="1:10" ht="21" customHeight="1" thickBot="1" x14ac:dyDescent="0.25">
      <c r="A55" s="74"/>
      <c r="B55" s="94"/>
      <c r="C55" s="213" t="s">
        <v>44</v>
      </c>
      <c r="D55" s="213"/>
      <c r="E55" s="214"/>
      <c r="F55" s="2" t="s">
        <v>0</v>
      </c>
      <c r="G55" s="55" t="s">
        <v>1</v>
      </c>
      <c r="H55" s="10"/>
      <c r="I55" s="4"/>
      <c r="J55" s="1"/>
    </row>
    <row r="56" spans="1:10" ht="17.25" customHeight="1" thickBot="1" x14ac:dyDescent="0.25">
      <c r="A56" s="211"/>
      <c r="B56" s="67">
        <v>6332121</v>
      </c>
      <c r="C56" s="34">
        <v>6332121</v>
      </c>
      <c r="D56" s="66"/>
      <c r="E56" s="64" t="s">
        <v>10</v>
      </c>
      <c r="F56" s="26">
        <v>12</v>
      </c>
      <c r="G56" s="51">
        <v>3861</v>
      </c>
      <c r="H56" s="10" t="e">
        <f>#REF!</f>
        <v>#REF!</v>
      </c>
      <c r="I56" s="4" t="e">
        <f>(#REF!*F56*G56)</f>
        <v>#REF!</v>
      </c>
      <c r="J56" s="1"/>
    </row>
    <row r="57" spans="1:10" s="42" customFormat="1" ht="17.25" customHeight="1" thickBot="1" x14ac:dyDescent="0.25">
      <c r="A57" s="211"/>
      <c r="B57" s="41">
        <v>6080065</v>
      </c>
      <c r="C57" s="41">
        <v>6080065</v>
      </c>
      <c r="D57" s="78"/>
      <c r="E57" s="62" t="s">
        <v>138</v>
      </c>
      <c r="F57" s="40">
        <v>24</v>
      </c>
      <c r="G57" s="52">
        <v>1287</v>
      </c>
      <c r="H57" s="10"/>
      <c r="I57" s="4" t="e">
        <f>(#REF!*F57*G57)</f>
        <v>#REF!</v>
      </c>
      <c r="J57" s="1"/>
    </row>
    <row r="58" spans="1:10" ht="17.25" customHeight="1" thickBot="1" x14ac:dyDescent="0.25">
      <c r="A58" s="211"/>
      <c r="B58" s="67">
        <v>6340397</v>
      </c>
      <c r="C58" s="34">
        <v>6340397</v>
      </c>
      <c r="D58" s="92" t="s">
        <v>139</v>
      </c>
      <c r="E58" s="60" t="s">
        <v>140</v>
      </c>
      <c r="F58" s="26">
        <v>12</v>
      </c>
      <c r="G58" s="51">
        <v>4657.72</v>
      </c>
      <c r="H58" s="10" t="e">
        <f>#REF!</f>
        <v>#REF!</v>
      </c>
      <c r="I58" s="4" t="e">
        <f>(#REF!*F58*G58)</f>
        <v>#REF!</v>
      </c>
      <c r="J58" s="1"/>
    </row>
    <row r="59" spans="1:10" ht="17.25" customHeight="1" thickBot="1" x14ac:dyDescent="0.25">
      <c r="A59" s="211"/>
      <c r="B59" s="67">
        <v>6340397</v>
      </c>
      <c r="C59" s="34">
        <v>6340398</v>
      </c>
      <c r="D59" s="92" t="s">
        <v>139</v>
      </c>
      <c r="E59" s="60" t="s">
        <v>141</v>
      </c>
      <c r="F59" s="26">
        <v>12</v>
      </c>
      <c r="G59" s="51">
        <v>3487.15</v>
      </c>
      <c r="H59" s="10" t="e">
        <f>#REF!</f>
        <v>#REF!</v>
      </c>
      <c r="I59" s="4" t="e">
        <f>(#REF!*F59*G59)</f>
        <v>#REF!</v>
      </c>
      <c r="J59" s="1"/>
    </row>
    <row r="60" spans="1:10" s="23" customFormat="1" ht="17.25" customHeight="1" thickBot="1" x14ac:dyDescent="0.25">
      <c r="A60" s="211"/>
      <c r="B60" s="67">
        <v>6340399</v>
      </c>
      <c r="C60" s="67">
        <v>6340399</v>
      </c>
      <c r="D60" s="66"/>
      <c r="E60" s="60" t="s">
        <v>142</v>
      </c>
      <c r="F60" s="24">
        <v>12</v>
      </c>
      <c r="G60" s="51">
        <v>3186.85</v>
      </c>
      <c r="H60" s="10" t="e">
        <f>#REF!</f>
        <v>#REF!</v>
      </c>
      <c r="I60" s="4" t="e">
        <f>(#REF!*F60*G60)</f>
        <v>#REF!</v>
      </c>
      <c r="J60" s="1"/>
    </row>
    <row r="61" spans="1:10" ht="17.25" customHeight="1" thickBot="1" x14ac:dyDescent="0.25">
      <c r="A61" s="212"/>
      <c r="B61" s="67">
        <v>6340201</v>
      </c>
      <c r="C61" s="34">
        <v>6340201</v>
      </c>
      <c r="D61" s="66"/>
      <c r="E61" s="60" t="s">
        <v>11</v>
      </c>
      <c r="F61" s="27">
        <v>24</v>
      </c>
      <c r="G61" s="51">
        <v>4841.5600000000004</v>
      </c>
      <c r="H61" s="10" t="e">
        <f>#REF!</f>
        <v>#REF!</v>
      </c>
      <c r="I61" s="4" t="e">
        <f>(#REF!*F61*G61)</f>
        <v>#REF!</v>
      </c>
      <c r="J61" s="1"/>
    </row>
    <row r="62" spans="1:10" ht="23.25" customHeight="1" thickBot="1" x14ac:dyDescent="0.25">
      <c r="A62" s="75"/>
      <c r="B62" s="93"/>
      <c r="C62" s="215" t="s">
        <v>12</v>
      </c>
      <c r="D62" s="215"/>
      <c r="E62" s="210"/>
      <c r="F62" s="2" t="s">
        <v>0</v>
      </c>
      <c r="G62" s="55" t="s">
        <v>1</v>
      </c>
      <c r="H62" s="10"/>
      <c r="I62" s="4"/>
      <c r="J62" s="1"/>
    </row>
    <row r="63" spans="1:10" ht="17.25" customHeight="1" thickBot="1" x14ac:dyDescent="0.25">
      <c r="A63" s="205" t="s">
        <v>13</v>
      </c>
      <c r="B63" s="13">
        <v>6090002</v>
      </c>
      <c r="C63" s="13">
        <v>6090002</v>
      </c>
      <c r="D63" s="31" t="s">
        <v>143</v>
      </c>
      <c r="E63" s="69" t="s">
        <v>144</v>
      </c>
      <c r="F63" s="26">
        <v>12</v>
      </c>
      <c r="G63" s="51">
        <v>2022.42</v>
      </c>
      <c r="H63" s="10" t="e">
        <f>#REF!</f>
        <v>#REF!</v>
      </c>
      <c r="I63" s="4" t="e">
        <f>(#REF!*F63*G63)</f>
        <v>#REF!</v>
      </c>
      <c r="J63" s="1"/>
    </row>
    <row r="64" spans="1:10" ht="17.25" customHeight="1" thickBot="1" x14ac:dyDescent="0.25">
      <c r="A64" s="211"/>
      <c r="B64" s="13">
        <v>6090002</v>
      </c>
      <c r="C64" s="34">
        <v>6090003</v>
      </c>
      <c r="D64" s="31" t="s">
        <v>143</v>
      </c>
      <c r="E64" s="64" t="s">
        <v>145</v>
      </c>
      <c r="F64" s="26">
        <v>12</v>
      </c>
      <c r="G64" s="51">
        <v>2022.42</v>
      </c>
      <c r="H64" s="10" t="e">
        <f>#REF!</f>
        <v>#REF!</v>
      </c>
      <c r="I64" s="4" t="e">
        <f>(#REF!*F64*G64)</f>
        <v>#REF!</v>
      </c>
      <c r="J64" s="1"/>
    </row>
    <row r="65" spans="1:10" ht="17.25" customHeight="1" thickBot="1" x14ac:dyDescent="0.25">
      <c r="A65" s="211"/>
      <c r="B65" s="13">
        <v>6090002</v>
      </c>
      <c r="C65" s="34">
        <v>6090004</v>
      </c>
      <c r="D65" s="31" t="s">
        <v>143</v>
      </c>
      <c r="E65" s="64" t="s">
        <v>146</v>
      </c>
      <c r="F65" s="26">
        <v>12</v>
      </c>
      <c r="G65" s="51">
        <v>2022.42</v>
      </c>
      <c r="H65" s="10" t="e">
        <f>#REF!</f>
        <v>#REF!</v>
      </c>
      <c r="I65" s="4" t="e">
        <f>(#REF!*F65*G65)</f>
        <v>#REF!</v>
      </c>
      <c r="J65" s="1"/>
    </row>
    <row r="66" spans="1:10" ht="17.25" customHeight="1" thickBot="1" x14ac:dyDescent="0.25">
      <c r="A66" s="211"/>
      <c r="B66" s="67">
        <v>6090026</v>
      </c>
      <c r="C66" s="34">
        <v>6090026</v>
      </c>
      <c r="D66" s="66" t="s">
        <v>147</v>
      </c>
      <c r="E66" s="64" t="s">
        <v>148</v>
      </c>
      <c r="F66" s="26">
        <v>24</v>
      </c>
      <c r="G66" s="51">
        <v>1716</v>
      </c>
      <c r="H66" s="10" t="e">
        <f>#REF!</f>
        <v>#REF!</v>
      </c>
      <c r="I66" s="4" t="e">
        <f>(#REF!*F66*G66)</f>
        <v>#REF!</v>
      </c>
      <c r="J66" s="1"/>
    </row>
    <row r="67" spans="1:10" ht="17.25" customHeight="1" thickBot="1" x14ac:dyDescent="0.25">
      <c r="A67" s="211"/>
      <c r="B67" s="67">
        <v>6090026</v>
      </c>
      <c r="C67" s="34">
        <v>6090027</v>
      </c>
      <c r="D67" s="66" t="s">
        <v>147</v>
      </c>
      <c r="E67" s="64" t="s">
        <v>149</v>
      </c>
      <c r="F67" s="26">
        <v>24</v>
      </c>
      <c r="G67" s="51">
        <v>1716</v>
      </c>
      <c r="H67" s="10" t="e">
        <f>#REF!</f>
        <v>#REF!</v>
      </c>
      <c r="I67" s="4" t="e">
        <f>(#REF!*F67*G67)</f>
        <v>#REF!</v>
      </c>
      <c r="J67" s="1"/>
    </row>
    <row r="68" spans="1:10" ht="17.25" customHeight="1" thickBot="1" x14ac:dyDescent="0.25">
      <c r="A68" s="211"/>
      <c r="B68" s="67">
        <v>6090026</v>
      </c>
      <c r="C68" s="34">
        <v>6090028</v>
      </c>
      <c r="D68" s="66" t="s">
        <v>147</v>
      </c>
      <c r="E68" s="64" t="s">
        <v>152</v>
      </c>
      <c r="F68" s="26">
        <v>24</v>
      </c>
      <c r="G68" s="51">
        <v>1716</v>
      </c>
      <c r="H68" s="10" t="e">
        <f>#REF!</f>
        <v>#REF!</v>
      </c>
      <c r="I68" s="4" t="e">
        <f>(#REF!*F68*G68)</f>
        <v>#REF!</v>
      </c>
      <c r="J68" s="1"/>
    </row>
    <row r="69" spans="1:10" ht="17.25" customHeight="1" thickBot="1" x14ac:dyDescent="0.25">
      <c r="A69" s="211"/>
      <c r="B69" s="67">
        <v>6090026</v>
      </c>
      <c r="C69" s="34">
        <v>6090022</v>
      </c>
      <c r="D69" s="66" t="s">
        <v>147</v>
      </c>
      <c r="E69" s="64" t="s">
        <v>151</v>
      </c>
      <c r="F69" s="26">
        <v>12</v>
      </c>
      <c r="G69" s="51">
        <v>1900</v>
      </c>
      <c r="H69" s="10" t="e">
        <f>#REF!</f>
        <v>#REF!</v>
      </c>
      <c r="I69" s="4" t="e">
        <f>(#REF!*F69*G69)</f>
        <v>#REF!</v>
      </c>
      <c r="J69" s="1"/>
    </row>
    <row r="70" spans="1:10" ht="17.25" customHeight="1" thickBot="1" x14ac:dyDescent="0.25">
      <c r="A70" s="211"/>
      <c r="B70" s="67">
        <v>6090026</v>
      </c>
      <c r="C70" s="34">
        <v>6090023</v>
      </c>
      <c r="D70" s="66" t="s">
        <v>147</v>
      </c>
      <c r="E70" s="64" t="s">
        <v>150</v>
      </c>
      <c r="F70" s="26">
        <v>12</v>
      </c>
      <c r="G70" s="51">
        <v>1900</v>
      </c>
      <c r="H70" s="10" t="e">
        <f>#REF!</f>
        <v>#REF!</v>
      </c>
      <c r="I70" s="4" t="e">
        <f>(#REF!*F70*G70)</f>
        <v>#REF!</v>
      </c>
      <c r="J70" s="1"/>
    </row>
    <row r="71" spans="1:10" ht="17.25" customHeight="1" thickBot="1" x14ac:dyDescent="0.25">
      <c r="A71" s="211"/>
      <c r="B71" s="67">
        <v>6090026</v>
      </c>
      <c r="C71" s="34">
        <v>6090024</v>
      </c>
      <c r="D71" s="66" t="s">
        <v>147</v>
      </c>
      <c r="E71" s="64" t="s">
        <v>153</v>
      </c>
      <c r="F71" s="26">
        <v>12</v>
      </c>
      <c r="G71" s="51">
        <v>1900</v>
      </c>
      <c r="H71" s="10" t="e">
        <f>#REF!</f>
        <v>#REF!</v>
      </c>
      <c r="I71" s="4" t="e">
        <f>(#REF!*F71*G71)</f>
        <v>#REF!</v>
      </c>
      <c r="J71" s="1"/>
    </row>
    <row r="72" spans="1:10" ht="17.25" customHeight="1" thickBot="1" x14ac:dyDescent="0.25">
      <c r="A72" s="211"/>
      <c r="B72" s="67">
        <v>6090072</v>
      </c>
      <c r="C72" s="34">
        <v>6090072</v>
      </c>
      <c r="D72" s="66" t="s">
        <v>154</v>
      </c>
      <c r="E72" s="64" t="s">
        <v>155</v>
      </c>
      <c r="F72" s="26">
        <v>6</v>
      </c>
      <c r="G72" s="51">
        <v>2757.86</v>
      </c>
      <c r="H72" s="10" t="e">
        <f>#REF!</f>
        <v>#REF!</v>
      </c>
      <c r="I72" s="4" t="e">
        <f>(#REF!*F72*G72)</f>
        <v>#REF!</v>
      </c>
      <c r="J72" s="1"/>
    </row>
    <row r="73" spans="1:10" ht="17.25" customHeight="1" thickBot="1" x14ac:dyDescent="0.25">
      <c r="A73" s="211"/>
      <c r="B73" s="67">
        <v>6090072</v>
      </c>
      <c r="C73" s="67">
        <v>6090073</v>
      </c>
      <c r="D73" s="66" t="s">
        <v>154</v>
      </c>
      <c r="E73" s="64" t="s">
        <v>156</v>
      </c>
      <c r="F73" s="26">
        <v>6</v>
      </c>
      <c r="G73" s="51">
        <v>2757.86</v>
      </c>
      <c r="H73" s="10" t="e">
        <f>#REF!</f>
        <v>#REF!</v>
      </c>
      <c r="I73" s="4" t="e">
        <f>(#REF!*F73*G73)</f>
        <v>#REF!</v>
      </c>
      <c r="J73" s="5"/>
    </row>
    <row r="74" spans="1:10" ht="17.25" customHeight="1" thickBot="1" x14ac:dyDescent="0.25">
      <c r="A74" s="211"/>
      <c r="B74" s="67">
        <v>6090072</v>
      </c>
      <c r="C74" s="34">
        <v>6090074</v>
      </c>
      <c r="D74" s="66" t="s">
        <v>154</v>
      </c>
      <c r="E74" s="64" t="s">
        <v>157</v>
      </c>
      <c r="F74" s="26">
        <v>6</v>
      </c>
      <c r="G74" s="51">
        <v>2757.86</v>
      </c>
      <c r="H74" s="10" t="e">
        <f>#REF!</f>
        <v>#REF!</v>
      </c>
      <c r="I74" s="4" t="e">
        <f>(#REF!*F74*G74)</f>
        <v>#REF!</v>
      </c>
      <c r="J74" s="1"/>
    </row>
    <row r="75" spans="1:10" ht="17.25" customHeight="1" thickBot="1" x14ac:dyDescent="0.25">
      <c r="A75" s="211"/>
      <c r="B75" s="67">
        <v>6090052</v>
      </c>
      <c r="C75" s="34">
        <v>6090052</v>
      </c>
      <c r="D75" s="66" t="s">
        <v>158</v>
      </c>
      <c r="E75" s="64" t="s">
        <v>159</v>
      </c>
      <c r="F75" s="26">
        <v>12</v>
      </c>
      <c r="G75" s="51">
        <v>3064.28</v>
      </c>
      <c r="H75" s="10" t="e">
        <f>#REF!</f>
        <v>#REF!</v>
      </c>
      <c r="I75" s="4" t="e">
        <f>(#REF!*F75*G75)</f>
        <v>#REF!</v>
      </c>
      <c r="J75" s="1"/>
    </row>
    <row r="76" spans="1:10" ht="17.25" customHeight="1" thickBot="1" x14ac:dyDescent="0.25">
      <c r="A76" s="211"/>
      <c r="B76" s="67">
        <v>6090052</v>
      </c>
      <c r="C76" s="67">
        <v>6090053</v>
      </c>
      <c r="D76" s="66" t="s">
        <v>158</v>
      </c>
      <c r="E76" s="64" t="s">
        <v>160</v>
      </c>
      <c r="F76" s="26">
        <v>12</v>
      </c>
      <c r="G76" s="51">
        <v>3064.28</v>
      </c>
      <c r="H76" s="10" t="e">
        <f>#REF!</f>
        <v>#REF!</v>
      </c>
      <c r="I76" s="4" t="e">
        <f>(#REF!*F76*G76)</f>
        <v>#REF!</v>
      </c>
      <c r="J76" s="5"/>
    </row>
    <row r="77" spans="1:10" ht="17.25" customHeight="1" thickBot="1" x14ac:dyDescent="0.25">
      <c r="A77" s="211"/>
      <c r="B77" s="67">
        <v>6090052</v>
      </c>
      <c r="C77" s="67">
        <v>6090054</v>
      </c>
      <c r="D77" s="66" t="s">
        <v>158</v>
      </c>
      <c r="E77" s="64" t="s">
        <v>146</v>
      </c>
      <c r="F77" s="26">
        <v>12</v>
      </c>
      <c r="G77" s="51">
        <v>3064.28</v>
      </c>
      <c r="H77" s="10" t="e">
        <f>#REF!</f>
        <v>#REF!</v>
      </c>
      <c r="I77" s="4" t="e">
        <f>(#REF!*F77*G77)</f>
        <v>#REF!</v>
      </c>
      <c r="J77" s="5"/>
    </row>
    <row r="78" spans="1:10" s="43" customFormat="1" ht="17.25" customHeight="1" thickBot="1" x14ac:dyDescent="0.25">
      <c r="A78" s="211"/>
      <c r="B78" s="35">
        <v>6090084</v>
      </c>
      <c r="C78" s="35">
        <v>6090084</v>
      </c>
      <c r="D78" s="79"/>
      <c r="E78" s="65" t="s">
        <v>14</v>
      </c>
      <c r="F78" s="38">
        <v>6</v>
      </c>
      <c r="G78" s="51">
        <v>3922.28</v>
      </c>
      <c r="H78" s="10"/>
      <c r="I78" s="4"/>
      <c r="J78" s="5"/>
    </row>
    <row r="79" spans="1:10" s="43" customFormat="1" ht="17.25" customHeight="1" thickBot="1" x14ac:dyDescent="0.25">
      <c r="A79" s="211"/>
      <c r="B79" s="35">
        <v>6090030</v>
      </c>
      <c r="C79" s="35">
        <v>6090030</v>
      </c>
      <c r="D79" s="79" t="s">
        <v>161</v>
      </c>
      <c r="E79" s="60" t="s">
        <v>59</v>
      </c>
      <c r="F79" s="38">
        <v>15</v>
      </c>
      <c r="G79" s="51">
        <v>3370.72</v>
      </c>
      <c r="H79" s="10"/>
      <c r="I79" s="4"/>
      <c r="J79" s="5"/>
    </row>
    <row r="80" spans="1:10" s="43" customFormat="1" ht="17.25" customHeight="1" thickBot="1" x14ac:dyDescent="0.25">
      <c r="A80" s="211"/>
      <c r="B80" s="35">
        <v>6090030</v>
      </c>
      <c r="C80" s="35">
        <v>6090032</v>
      </c>
      <c r="D80" s="79" t="s">
        <v>161</v>
      </c>
      <c r="E80" s="60" t="s">
        <v>60</v>
      </c>
      <c r="F80" s="38">
        <v>15</v>
      </c>
      <c r="G80" s="51">
        <v>3370.72</v>
      </c>
      <c r="H80" s="10"/>
      <c r="I80" s="4"/>
      <c r="J80" s="5"/>
    </row>
    <row r="81" spans="1:10" s="43" customFormat="1" ht="17.25" customHeight="1" thickBot="1" x14ac:dyDescent="0.25">
      <c r="A81" s="211"/>
      <c r="B81" s="35">
        <v>6090030</v>
      </c>
      <c r="C81" s="35">
        <v>6090029</v>
      </c>
      <c r="D81" s="79" t="s">
        <v>161</v>
      </c>
      <c r="E81" s="60" t="s">
        <v>61</v>
      </c>
      <c r="F81" s="38">
        <v>14</v>
      </c>
      <c r="G81" s="51">
        <v>4964.13</v>
      </c>
      <c r="H81" s="10"/>
      <c r="I81" s="4"/>
      <c r="J81" s="5"/>
    </row>
    <row r="82" spans="1:10" ht="17.25" customHeight="1" thickBot="1" x14ac:dyDescent="0.25">
      <c r="A82" s="212"/>
      <c r="B82" s="190">
        <v>6090030</v>
      </c>
      <c r="C82" s="190">
        <v>6090031</v>
      </c>
      <c r="D82" s="191" t="s">
        <v>161</v>
      </c>
      <c r="E82" s="105" t="s">
        <v>62</v>
      </c>
      <c r="F82" s="192">
        <v>14</v>
      </c>
      <c r="G82" s="193">
        <v>4964.13</v>
      </c>
      <c r="H82" s="10" t="e">
        <f>#REF!</f>
        <v>#REF!</v>
      </c>
      <c r="I82" s="4" t="e">
        <f>(#REF!*F82*G82)</f>
        <v>#REF!</v>
      </c>
      <c r="J82" s="1"/>
    </row>
    <row r="83" spans="1:10" ht="19.5" customHeight="1" thickBot="1" x14ac:dyDescent="0.25">
      <c r="A83" s="86"/>
      <c r="B83" s="93"/>
      <c r="C83" s="216" t="s">
        <v>15</v>
      </c>
      <c r="D83" s="216"/>
      <c r="E83" s="217"/>
      <c r="F83" s="2" t="s">
        <v>0</v>
      </c>
      <c r="G83" s="55" t="s">
        <v>1</v>
      </c>
      <c r="H83" s="10"/>
      <c r="I83" s="4"/>
      <c r="J83" s="1"/>
    </row>
    <row r="84" spans="1:10" ht="19.5" customHeight="1" thickBot="1" x14ac:dyDescent="0.25">
      <c r="A84" s="205" t="s">
        <v>16</v>
      </c>
      <c r="B84" s="13">
        <v>6030174</v>
      </c>
      <c r="C84" s="13">
        <v>6030174</v>
      </c>
      <c r="D84" s="31" t="s">
        <v>162</v>
      </c>
      <c r="E84" s="63" t="s">
        <v>368</v>
      </c>
      <c r="F84" s="26">
        <v>24</v>
      </c>
      <c r="G84" s="51">
        <v>1262.48</v>
      </c>
      <c r="H84" s="10" t="e">
        <f>#REF!</f>
        <v>#REF!</v>
      </c>
      <c r="I84" s="4" t="e">
        <f>(#REF!*F84*G84)</f>
        <v>#REF!</v>
      </c>
      <c r="J84" s="1"/>
    </row>
    <row r="85" spans="1:10" ht="19.5" customHeight="1" thickBot="1" x14ac:dyDescent="0.25">
      <c r="A85" s="211"/>
      <c r="B85" s="13">
        <v>6030174</v>
      </c>
      <c r="C85" s="34">
        <v>6030182</v>
      </c>
      <c r="D85" s="31" t="s">
        <v>162</v>
      </c>
      <c r="E85" s="60" t="s">
        <v>369</v>
      </c>
      <c r="F85" s="26">
        <v>24</v>
      </c>
      <c r="G85" s="51">
        <v>1262.48</v>
      </c>
      <c r="H85" s="10" t="e">
        <f>#REF!</f>
        <v>#REF!</v>
      </c>
      <c r="I85" s="4" t="e">
        <f>(#REF!*F85*G85)</f>
        <v>#REF!</v>
      </c>
      <c r="J85" s="1"/>
    </row>
    <row r="86" spans="1:10" ht="17.25" customHeight="1" thickBot="1" x14ac:dyDescent="0.25">
      <c r="A86" s="211"/>
      <c r="B86" s="13">
        <v>6030174</v>
      </c>
      <c r="C86" s="34">
        <v>6030170</v>
      </c>
      <c r="D86" s="31" t="s">
        <v>162</v>
      </c>
      <c r="E86" s="60" t="s">
        <v>370</v>
      </c>
      <c r="F86" s="26">
        <v>12</v>
      </c>
      <c r="G86" s="51">
        <v>1323.77</v>
      </c>
      <c r="H86" s="10" t="e">
        <f>#REF!</f>
        <v>#REF!</v>
      </c>
      <c r="I86" s="4" t="e">
        <f>(#REF!*F86*G86)</f>
        <v>#REF!</v>
      </c>
      <c r="J86" s="1"/>
    </row>
    <row r="87" spans="1:10" ht="17.25" customHeight="1" thickBot="1" x14ac:dyDescent="0.25">
      <c r="A87" s="211"/>
      <c r="B87" s="13">
        <v>6030174</v>
      </c>
      <c r="C87" s="34">
        <v>6030181</v>
      </c>
      <c r="D87" s="31" t="s">
        <v>162</v>
      </c>
      <c r="E87" s="60" t="s">
        <v>371</v>
      </c>
      <c r="F87" s="26">
        <v>12</v>
      </c>
      <c r="G87" s="51">
        <v>1323.77</v>
      </c>
      <c r="H87" s="10" t="e">
        <f>#REF!</f>
        <v>#REF!</v>
      </c>
      <c r="I87" s="4" t="e">
        <f>(#REF!*F87*G87)</f>
        <v>#REF!</v>
      </c>
      <c r="J87" s="1"/>
    </row>
    <row r="88" spans="1:10" ht="17.25" customHeight="1" thickBot="1" x14ac:dyDescent="0.25">
      <c r="A88" s="211"/>
      <c r="B88" s="13">
        <v>6030174</v>
      </c>
      <c r="C88" s="34">
        <v>6030171</v>
      </c>
      <c r="D88" s="31" t="s">
        <v>162</v>
      </c>
      <c r="E88" s="60" t="s">
        <v>372</v>
      </c>
      <c r="F88" s="26">
        <v>6</v>
      </c>
      <c r="G88" s="51">
        <v>2206.3000000000002</v>
      </c>
      <c r="H88" s="10" t="e">
        <f>#REF!</f>
        <v>#REF!</v>
      </c>
      <c r="I88" s="4" t="e">
        <f>(#REF!*F88*G88)</f>
        <v>#REF!</v>
      </c>
      <c r="J88" s="1"/>
    </row>
    <row r="89" spans="1:10" ht="17.25" customHeight="1" thickBot="1" x14ac:dyDescent="0.25">
      <c r="A89" s="211"/>
      <c r="B89" s="67">
        <v>6030172</v>
      </c>
      <c r="C89" s="34">
        <v>6030172</v>
      </c>
      <c r="D89" s="66"/>
      <c r="E89" s="60" t="s">
        <v>17</v>
      </c>
      <c r="F89" s="26">
        <v>24</v>
      </c>
      <c r="G89" s="51">
        <v>1752.76</v>
      </c>
      <c r="H89" s="10" t="e">
        <f>#REF!</f>
        <v>#REF!</v>
      </c>
      <c r="I89" s="4" t="e">
        <f>(#REF!*F89*G89)</f>
        <v>#REF!</v>
      </c>
      <c r="J89" s="1"/>
    </row>
    <row r="90" spans="1:10" ht="17.25" customHeight="1" thickBot="1" x14ac:dyDescent="0.25">
      <c r="A90" s="211"/>
      <c r="B90" s="67">
        <v>6030177</v>
      </c>
      <c r="C90" s="34">
        <v>6030177</v>
      </c>
      <c r="D90" s="92" t="s">
        <v>373</v>
      </c>
      <c r="E90" s="60" t="s">
        <v>374</v>
      </c>
      <c r="F90" s="26">
        <v>12</v>
      </c>
      <c r="G90" s="51">
        <v>2696.56</v>
      </c>
      <c r="H90" s="10" t="e">
        <f>#REF!</f>
        <v>#REF!</v>
      </c>
      <c r="I90" s="4" t="e">
        <f>(#REF!*F90*G90)</f>
        <v>#REF!</v>
      </c>
      <c r="J90" s="1"/>
    </row>
    <row r="91" spans="1:10" ht="17.25" customHeight="1" thickBot="1" x14ac:dyDescent="0.25">
      <c r="A91" s="211"/>
      <c r="B91" s="67">
        <v>6030177</v>
      </c>
      <c r="C91" s="34">
        <v>6030178</v>
      </c>
      <c r="D91" s="92" t="s">
        <v>373</v>
      </c>
      <c r="E91" s="60" t="s">
        <v>375</v>
      </c>
      <c r="F91" s="26">
        <v>12</v>
      </c>
      <c r="G91" s="51">
        <v>2696.56</v>
      </c>
      <c r="H91" s="10" t="e">
        <f>#REF!</f>
        <v>#REF!</v>
      </c>
      <c r="I91" s="4" t="e">
        <f>(#REF!*F91*G91)</f>
        <v>#REF!</v>
      </c>
      <c r="J91" s="1"/>
    </row>
    <row r="92" spans="1:10" s="23" customFormat="1" ht="17.25" customHeight="1" thickBot="1" x14ac:dyDescent="0.25">
      <c r="A92" s="211"/>
      <c r="B92" s="67">
        <v>6030191</v>
      </c>
      <c r="C92" s="34">
        <v>6030191</v>
      </c>
      <c r="D92" s="66" t="s">
        <v>164</v>
      </c>
      <c r="E92" s="60" t="s">
        <v>376</v>
      </c>
      <c r="F92" s="20">
        <v>12</v>
      </c>
      <c r="G92" s="51">
        <v>2696.56</v>
      </c>
      <c r="H92" s="10" t="e">
        <f>#REF!</f>
        <v>#REF!</v>
      </c>
      <c r="I92" s="4" t="e">
        <f>(#REF!*F92*G92)</f>
        <v>#REF!</v>
      </c>
      <c r="J92" s="1"/>
    </row>
    <row r="93" spans="1:10" s="9" customFormat="1" ht="17.25" customHeight="1" thickBot="1" x14ac:dyDescent="0.25">
      <c r="A93" s="211"/>
      <c r="B93" s="67">
        <v>6030191</v>
      </c>
      <c r="C93" s="34">
        <v>6030188</v>
      </c>
      <c r="D93" s="66" t="s">
        <v>164</v>
      </c>
      <c r="E93" s="60" t="s">
        <v>165</v>
      </c>
      <c r="F93" s="20">
        <v>12</v>
      </c>
      <c r="G93" s="51">
        <v>1323.77</v>
      </c>
      <c r="H93" s="10" t="e">
        <f>#REF!</f>
        <v>#REF!</v>
      </c>
      <c r="I93" s="4" t="e">
        <f>(#REF!*F93*G93)</f>
        <v>#REF!</v>
      </c>
      <c r="J93" s="1"/>
    </row>
    <row r="94" spans="1:10" s="9" customFormat="1" ht="17.25" customHeight="1" thickBot="1" x14ac:dyDescent="0.25">
      <c r="A94" s="211"/>
      <c r="B94" s="67">
        <v>6030191</v>
      </c>
      <c r="C94" s="34">
        <v>6030189</v>
      </c>
      <c r="D94" s="66" t="s">
        <v>164</v>
      </c>
      <c r="E94" s="64" t="s">
        <v>166</v>
      </c>
      <c r="F94" s="20">
        <v>6</v>
      </c>
      <c r="G94" s="51">
        <v>2206.3000000000002</v>
      </c>
      <c r="H94" s="10" t="e">
        <f>#REF!</f>
        <v>#REF!</v>
      </c>
      <c r="I94" s="4" t="e">
        <f>(#REF!*F94*G94)</f>
        <v>#REF!</v>
      </c>
      <c r="J94" s="1"/>
    </row>
    <row r="95" spans="1:10" ht="17.25" customHeight="1" thickBot="1" x14ac:dyDescent="0.25">
      <c r="A95" s="211"/>
      <c r="B95" s="67">
        <v>6030253</v>
      </c>
      <c r="C95" s="34">
        <v>6030253</v>
      </c>
      <c r="D95" s="92" t="s">
        <v>352</v>
      </c>
      <c r="E95" s="60" t="s">
        <v>353</v>
      </c>
      <c r="F95" s="26">
        <v>12</v>
      </c>
      <c r="G95" s="51">
        <v>2145</v>
      </c>
      <c r="H95" s="10" t="e">
        <f>#REF!</f>
        <v>#REF!</v>
      </c>
      <c r="I95" s="4" t="e">
        <f>(#REF!*F95*G95)</f>
        <v>#REF!</v>
      </c>
      <c r="J95" s="1"/>
    </row>
    <row r="96" spans="1:10" s="72" customFormat="1" ht="17.25" customHeight="1" thickBot="1" x14ac:dyDescent="0.25">
      <c r="A96" s="211"/>
      <c r="B96" s="67">
        <v>6030253</v>
      </c>
      <c r="C96" s="19">
        <v>6030252</v>
      </c>
      <c r="D96" s="92" t="s">
        <v>352</v>
      </c>
      <c r="E96" s="60" t="s">
        <v>354</v>
      </c>
      <c r="F96" s="26">
        <v>12</v>
      </c>
      <c r="G96" s="51">
        <v>2145</v>
      </c>
      <c r="H96" s="10"/>
      <c r="I96" s="4"/>
      <c r="J96" s="1"/>
    </row>
    <row r="97" spans="1:10" s="72" customFormat="1" ht="17.25" customHeight="1" thickBot="1" x14ac:dyDescent="0.25">
      <c r="A97" s="211"/>
      <c r="B97" s="67">
        <v>6030422</v>
      </c>
      <c r="C97" s="19">
        <v>6030422</v>
      </c>
      <c r="D97" s="92" t="s">
        <v>355</v>
      </c>
      <c r="E97" s="60" t="s">
        <v>356</v>
      </c>
      <c r="F97" s="26">
        <v>20</v>
      </c>
      <c r="G97" s="51">
        <v>2206.3000000000002</v>
      </c>
      <c r="H97" s="10"/>
      <c r="I97" s="4"/>
      <c r="J97" s="1"/>
    </row>
    <row r="98" spans="1:10" ht="17.25" customHeight="1" thickBot="1" x14ac:dyDescent="0.25">
      <c r="A98" s="211"/>
      <c r="B98" s="67">
        <v>6030422</v>
      </c>
      <c r="C98" s="19">
        <v>6030421</v>
      </c>
      <c r="D98" s="92" t="s">
        <v>355</v>
      </c>
      <c r="E98" s="60" t="s">
        <v>163</v>
      </c>
      <c r="F98" s="26">
        <v>24</v>
      </c>
      <c r="G98" s="51">
        <v>1532.15</v>
      </c>
      <c r="H98" s="10" t="e">
        <f>#REF!</f>
        <v>#REF!</v>
      </c>
      <c r="I98" s="4" t="e">
        <f>(#REF!*F98*G98)</f>
        <v>#REF!</v>
      </c>
      <c r="J98" s="1"/>
    </row>
    <row r="99" spans="1:10" ht="17.25" customHeight="1" thickBot="1" x14ac:dyDescent="0.25">
      <c r="A99" s="211"/>
      <c r="B99" s="67">
        <v>6030614</v>
      </c>
      <c r="C99" s="67">
        <v>6030614</v>
      </c>
      <c r="D99" s="92" t="s">
        <v>357</v>
      </c>
      <c r="E99" s="60" t="s">
        <v>358</v>
      </c>
      <c r="F99" s="26">
        <v>12</v>
      </c>
      <c r="G99" s="51">
        <v>3064.28</v>
      </c>
      <c r="H99" s="10" t="e">
        <f>#REF!</f>
        <v>#REF!</v>
      </c>
      <c r="I99" s="4" t="e">
        <f>(#REF!*F96*G96)</f>
        <v>#REF!</v>
      </c>
      <c r="J99" s="1"/>
    </row>
    <row r="100" spans="1:10" ht="17.25" customHeight="1" thickBot="1" x14ac:dyDescent="0.25">
      <c r="A100" s="211"/>
      <c r="B100" s="67">
        <v>6030614</v>
      </c>
      <c r="C100" s="19">
        <v>6030617</v>
      </c>
      <c r="D100" s="92" t="s">
        <v>357</v>
      </c>
      <c r="E100" s="60" t="s">
        <v>359</v>
      </c>
      <c r="F100" s="26">
        <v>15</v>
      </c>
      <c r="G100" s="51">
        <v>2696.56</v>
      </c>
      <c r="H100" s="10" t="e">
        <f>#REF!</f>
        <v>#REF!</v>
      </c>
      <c r="I100" s="4" t="e">
        <f>(#REF!*F99*G99)</f>
        <v>#REF!</v>
      </c>
      <c r="J100" s="1"/>
    </row>
    <row r="101" spans="1:10" ht="17.25" customHeight="1" thickBot="1" x14ac:dyDescent="0.25">
      <c r="A101" s="211"/>
      <c r="B101" s="67">
        <v>6330120</v>
      </c>
      <c r="C101" s="19">
        <v>6330120</v>
      </c>
      <c r="D101" s="66"/>
      <c r="E101" s="60" t="s">
        <v>360</v>
      </c>
      <c r="F101" s="26">
        <v>15</v>
      </c>
      <c r="G101" s="51">
        <v>1642.45</v>
      </c>
      <c r="H101" s="10" t="e">
        <f>#REF!</f>
        <v>#REF!</v>
      </c>
      <c r="I101" s="4" t="e">
        <f>(#REF!*F97*G97)</f>
        <v>#REF!</v>
      </c>
      <c r="J101" s="1"/>
    </row>
    <row r="102" spans="1:10" s="72" customFormat="1" ht="17.25" customHeight="1" thickBot="1" x14ac:dyDescent="0.25">
      <c r="A102" s="211"/>
      <c r="B102" s="67">
        <v>6030184</v>
      </c>
      <c r="C102" s="34">
        <v>6030187</v>
      </c>
      <c r="D102" s="92" t="s">
        <v>361</v>
      </c>
      <c r="E102" s="60" t="s">
        <v>363</v>
      </c>
      <c r="F102" s="26">
        <v>15</v>
      </c>
      <c r="G102" s="51">
        <v>1642.45</v>
      </c>
      <c r="H102" s="10"/>
      <c r="I102" s="4"/>
      <c r="J102" s="1"/>
    </row>
    <row r="103" spans="1:10" ht="17.25" customHeight="1" thickBot="1" x14ac:dyDescent="0.25">
      <c r="A103" s="211"/>
      <c r="B103" s="67">
        <v>6030184</v>
      </c>
      <c r="C103" s="34">
        <v>6030184</v>
      </c>
      <c r="D103" s="92" t="s">
        <v>361</v>
      </c>
      <c r="E103" s="60" t="s">
        <v>362</v>
      </c>
      <c r="F103" s="26">
        <v>12</v>
      </c>
      <c r="G103" s="51">
        <v>1985.66</v>
      </c>
      <c r="H103" s="10" t="e">
        <f>#REF!</f>
        <v>#REF!</v>
      </c>
      <c r="I103" s="4" t="e">
        <f>(#REF!*F100*G100)</f>
        <v>#REF!</v>
      </c>
      <c r="J103" s="1"/>
    </row>
    <row r="104" spans="1:10" ht="16.5" customHeight="1" thickBot="1" x14ac:dyDescent="0.25">
      <c r="A104" s="211"/>
      <c r="B104" s="67">
        <v>6030184</v>
      </c>
      <c r="C104" s="34">
        <v>6030185</v>
      </c>
      <c r="D104" s="92" t="s">
        <v>361</v>
      </c>
      <c r="E104" s="60" t="s">
        <v>377</v>
      </c>
      <c r="F104" s="26">
        <v>24</v>
      </c>
      <c r="G104" s="51">
        <v>1752.76</v>
      </c>
      <c r="H104" s="10" t="e">
        <f>#REF!</f>
        <v>#REF!</v>
      </c>
      <c r="I104" s="4" t="e">
        <f>(#REF!*F101*G101)</f>
        <v>#REF!</v>
      </c>
      <c r="J104" s="1"/>
    </row>
    <row r="105" spans="1:10" ht="17.25" customHeight="1" thickBot="1" x14ac:dyDescent="0.25">
      <c r="A105" s="211"/>
      <c r="B105" s="67">
        <v>6030183</v>
      </c>
      <c r="C105" s="35">
        <v>6030186</v>
      </c>
      <c r="D105" s="92" t="s">
        <v>364</v>
      </c>
      <c r="E105" s="107" t="s">
        <v>363</v>
      </c>
      <c r="F105" s="12">
        <v>15</v>
      </c>
      <c r="G105" s="51">
        <v>1642.45</v>
      </c>
      <c r="H105" s="10" t="e">
        <f>#REF!</f>
        <v>#REF!</v>
      </c>
      <c r="I105" s="4" t="e">
        <f>(#REF!*F103*G103)</f>
        <v>#REF!</v>
      </c>
      <c r="J105" s="1"/>
    </row>
    <row r="106" spans="1:10" ht="17.25" customHeight="1" thickBot="1" x14ac:dyDescent="0.25">
      <c r="A106" s="211"/>
      <c r="B106" s="67">
        <v>6030183</v>
      </c>
      <c r="C106" s="67">
        <v>6030180</v>
      </c>
      <c r="D106" s="92" t="s">
        <v>364</v>
      </c>
      <c r="E106" s="60" t="s">
        <v>362</v>
      </c>
      <c r="F106" s="188">
        <v>12</v>
      </c>
      <c r="G106" s="51">
        <v>1985.66</v>
      </c>
      <c r="H106" s="10" t="e">
        <f>#REF!</f>
        <v>#REF!</v>
      </c>
      <c r="I106" s="4" t="e">
        <f>(#REF!*F102*G102)</f>
        <v>#REF!</v>
      </c>
      <c r="J106" s="1"/>
    </row>
    <row r="107" spans="1:10" ht="17.25" customHeight="1" thickBot="1" x14ac:dyDescent="0.25">
      <c r="A107" s="211"/>
      <c r="B107" s="67">
        <v>6030183</v>
      </c>
      <c r="C107" s="34">
        <v>6030183</v>
      </c>
      <c r="D107" s="92" t="s">
        <v>364</v>
      </c>
      <c r="E107" s="60" t="s">
        <v>377</v>
      </c>
      <c r="F107" s="26">
        <v>24</v>
      </c>
      <c r="G107" s="51">
        <v>1752.76</v>
      </c>
      <c r="H107" s="10" t="e">
        <f>#REF!</f>
        <v>#REF!</v>
      </c>
      <c r="I107" s="4" t="e">
        <f>(#REF!*F104*G104)</f>
        <v>#REF!</v>
      </c>
      <c r="J107" s="1"/>
    </row>
    <row r="108" spans="1:10" ht="17.25" customHeight="1" thickBot="1" x14ac:dyDescent="0.25">
      <c r="A108" s="211"/>
      <c r="B108" s="95"/>
      <c r="C108" s="216" t="s">
        <v>18</v>
      </c>
      <c r="D108" s="216"/>
      <c r="E108" s="217"/>
      <c r="F108" s="6" t="s">
        <v>0</v>
      </c>
      <c r="G108" s="55" t="s">
        <v>1</v>
      </c>
      <c r="H108" s="10" t="e">
        <f>#REF!</f>
        <v>#REF!</v>
      </c>
      <c r="I108" s="4" t="e">
        <f>(#REF!*F107*G107)</f>
        <v>#REF!</v>
      </c>
      <c r="J108" s="1"/>
    </row>
    <row r="109" spans="1:10" ht="17.25" customHeight="1" thickBot="1" x14ac:dyDescent="0.25">
      <c r="A109" s="211"/>
      <c r="B109" s="189">
        <v>6040883</v>
      </c>
      <c r="C109" s="110">
        <v>6040883</v>
      </c>
      <c r="D109" s="110" t="s">
        <v>167</v>
      </c>
      <c r="E109" s="111" t="s">
        <v>168</v>
      </c>
      <c r="F109" s="112">
        <v>12</v>
      </c>
      <c r="G109" s="113">
        <v>1936.63</v>
      </c>
      <c r="H109" s="10" t="e">
        <f>#REF!</f>
        <v>#REF!</v>
      </c>
      <c r="I109" s="4" t="e">
        <f>(#REF!*F106*G106)</f>
        <v>#REF!</v>
      </c>
      <c r="J109" s="1"/>
    </row>
    <row r="110" spans="1:10" ht="15" customHeight="1" thickBot="1" x14ac:dyDescent="0.25">
      <c r="A110" s="50"/>
      <c r="B110" s="189">
        <v>6040883</v>
      </c>
      <c r="C110" s="110">
        <v>6040884</v>
      </c>
      <c r="D110" s="110" t="s">
        <v>167</v>
      </c>
      <c r="E110" s="111" t="s">
        <v>169</v>
      </c>
      <c r="F110" s="114">
        <v>12</v>
      </c>
      <c r="G110" s="113">
        <v>1936.63</v>
      </c>
      <c r="H110" s="50"/>
    </row>
    <row r="111" spans="1:10" ht="15" customHeight="1" thickBot="1" x14ac:dyDescent="0.25">
      <c r="B111" s="189">
        <v>6040883</v>
      </c>
      <c r="C111" s="110">
        <v>6040885</v>
      </c>
      <c r="D111" s="110" t="s">
        <v>167</v>
      </c>
      <c r="E111" s="111" t="s">
        <v>170</v>
      </c>
      <c r="F111" s="114">
        <v>12</v>
      </c>
      <c r="G111" s="113">
        <v>1936.63</v>
      </c>
    </row>
    <row r="112" spans="1:10" ht="15" customHeight="1" thickBot="1" x14ac:dyDescent="0.25">
      <c r="B112" s="189">
        <v>6040883</v>
      </c>
      <c r="C112" s="110">
        <v>6040893</v>
      </c>
      <c r="D112" s="110" t="s">
        <v>167</v>
      </c>
      <c r="E112" s="111" t="s">
        <v>171</v>
      </c>
      <c r="F112" s="114">
        <v>12</v>
      </c>
      <c r="G112" s="113">
        <v>1936.63</v>
      </c>
    </row>
    <row r="113" spans="2:7" ht="15" customHeight="1" thickBot="1" x14ac:dyDescent="0.25">
      <c r="B113" s="189">
        <v>6040883</v>
      </c>
      <c r="C113" s="110">
        <v>6040894</v>
      </c>
      <c r="D113" s="110" t="s">
        <v>167</v>
      </c>
      <c r="E113" s="111" t="s">
        <v>172</v>
      </c>
      <c r="F113" s="114">
        <v>12</v>
      </c>
      <c r="G113" s="113">
        <v>1936.63</v>
      </c>
    </row>
    <row r="114" spans="2:7" ht="15" customHeight="1" thickBot="1" x14ac:dyDescent="0.25">
      <c r="B114" s="189">
        <v>6040887</v>
      </c>
      <c r="C114" s="115">
        <v>6040887</v>
      </c>
      <c r="D114" s="110" t="s">
        <v>173</v>
      </c>
      <c r="E114" s="111" t="s">
        <v>168</v>
      </c>
      <c r="F114" s="114">
        <v>12</v>
      </c>
      <c r="G114" s="113">
        <v>1280.8599999999999</v>
      </c>
    </row>
    <row r="115" spans="2:7" ht="15" customHeight="1" thickBot="1" x14ac:dyDescent="0.25">
      <c r="B115" s="189">
        <v>6040887</v>
      </c>
      <c r="C115" s="115">
        <v>6040886</v>
      </c>
      <c r="D115" s="110" t="s">
        <v>173</v>
      </c>
      <c r="E115" s="111" t="s">
        <v>169</v>
      </c>
      <c r="F115" s="112">
        <v>12</v>
      </c>
      <c r="G115" s="113">
        <v>1280.8599999999999</v>
      </c>
    </row>
    <row r="116" spans="2:7" ht="15" customHeight="1" thickBot="1" x14ac:dyDescent="0.25">
      <c r="B116" s="189">
        <v>6040887</v>
      </c>
      <c r="C116" s="115">
        <v>6040888</v>
      </c>
      <c r="D116" s="110" t="s">
        <v>173</v>
      </c>
      <c r="E116" s="111" t="s">
        <v>170</v>
      </c>
      <c r="F116" s="112">
        <v>12</v>
      </c>
      <c r="G116" s="113">
        <v>1280.8599999999999</v>
      </c>
    </row>
    <row r="117" spans="2:7" ht="15" customHeight="1" thickBot="1" x14ac:dyDescent="0.25">
      <c r="B117" s="189">
        <v>6040887</v>
      </c>
      <c r="C117" s="115">
        <v>6040895</v>
      </c>
      <c r="D117" s="110" t="s">
        <v>173</v>
      </c>
      <c r="E117" s="111" t="s">
        <v>171</v>
      </c>
      <c r="F117" s="112">
        <v>12</v>
      </c>
      <c r="G117" s="113">
        <v>1280.8599999999999</v>
      </c>
    </row>
    <row r="118" spans="2:7" ht="15" customHeight="1" thickBot="1" x14ac:dyDescent="0.25">
      <c r="B118" s="189">
        <v>6040887</v>
      </c>
      <c r="C118" s="115">
        <v>6040896</v>
      </c>
      <c r="D118" s="110" t="s">
        <v>173</v>
      </c>
      <c r="E118" s="111" t="s">
        <v>172</v>
      </c>
      <c r="F118" s="112">
        <v>12</v>
      </c>
      <c r="G118" s="113">
        <v>1280.8599999999999</v>
      </c>
    </row>
    <row r="119" spans="2:7" ht="15" customHeight="1" thickBot="1" x14ac:dyDescent="0.25">
      <c r="B119" s="189">
        <v>6040904</v>
      </c>
      <c r="C119" s="116">
        <v>6040904</v>
      </c>
      <c r="D119" s="116" t="s">
        <v>174</v>
      </c>
      <c r="E119" s="111" t="s">
        <v>175</v>
      </c>
      <c r="F119" s="112">
        <v>20</v>
      </c>
      <c r="G119" s="113">
        <v>1005.1</v>
      </c>
    </row>
    <row r="120" spans="2:7" ht="15" customHeight="1" thickBot="1" x14ac:dyDescent="0.25">
      <c r="B120" s="189">
        <v>6040904</v>
      </c>
      <c r="C120" s="116">
        <v>6040905</v>
      </c>
      <c r="D120" s="116" t="s">
        <v>174</v>
      </c>
      <c r="E120" s="111" t="s">
        <v>176</v>
      </c>
      <c r="F120" s="112">
        <v>20</v>
      </c>
      <c r="G120" s="113">
        <v>1005.1</v>
      </c>
    </row>
    <row r="121" spans="2:7" ht="15" customHeight="1" thickBot="1" x14ac:dyDescent="0.25">
      <c r="B121" s="115">
        <v>6040897</v>
      </c>
      <c r="C121" s="115">
        <v>6040897</v>
      </c>
      <c r="D121" s="115" t="s">
        <v>177</v>
      </c>
      <c r="E121" s="111" t="s">
        <v>178</v>
      </c>
      <c r="F121" s="112">
        <v>12</v>
      </c>
      <c r="G121" s="113">
        <v>1936.63</v>
      </c>
    </row>
    <row r="122" spans="2:7" ht="15" customHeight="1" thickBot="1" x14ac:dyDescent="0.25">
      <c r="B122" s="115">
        <v>6040897</v>
      </c>
      <c r="C122" s="110">
        <v>6040898</v>
      </c>
      <c r="D122" s="115" t="s">
        <v>177</v>
      </c>
      <c r="E122" s="111" t="s">
        <v>179</v>
      </c>
      <c r="F122" s="114">
        <v>12</v>
      </c>
      <c r="G122" s="113">
        <v>1936.63</v>
      </c>
    </row>
    <row r="123" spans="2:7" ht="15" customHeight="1" thickBot="1" x14ac:dyDescent="0.25">
      <c r="B123" s="115">
        <v>6040899</v>
      </c>
      <c r="C123" s="115">
        <v>6040899</v>
      </c>
      <c r="D123" s="115" t="s">
        <v>180</v>
      </c>
      <c r="E123" s="111" t="s">
        <v>178</v>
      </c>
      <c r="F123" s="112">
        <v>12</v>
      </c>
      <c r="G123" s="113">
        <v>1280.8599999999999</v>
      </c>
    </row>
    <row r="124" spans="2:7" ht="15" customHeight="1" thickBot="1" x14ac:dyDescent="0.25">
      <c r="B124" s="115">
        <v>6040899</v>
      </c>
      <c r="C124" s="115">
        <v>6040900</v>
      </c>
      <c r="D124" s="115" t="s">
        <v>180</v>
      </c>
      <c r="E124" s="111" t="s">
        <v>181</v>
      </c>
      <c r="F124" s="112">
        <v>12</v>
      </c>
      <c r="G124" s="113">
        <v>1280.8599999999999</v>
      </c>
    </row>
    <row r="125" spans="2:7" ht="15" customHeight="1" thickBot="1" x14ac:dyDescent="0.25">
      <c r="B125" s="245">
        <v>6040369</v>
      </c>
      <c r="C125" s="115">
        <v>6040369</v>
      </c>
      <c r="D125" s="115" t="s">
        <v>365</v>
      </c>
      <c r="E125" s="111" t="s">
        <v>366</v>
      </c>
      <c r="F125" s="112">
        <v>12</v>
      </c>
      <c r="G125" s="113">
        <v>1900</v>
      </c>
    </row>
    <row r="126" spans="2:7" ht="15" customHeight="1" thickBot="1" x14ac:dyDescent="0.25">
      <c r="B126" s="245">
        <v>6040369</v>
      </c>
      <c r="C126" s="115">
        <v>6040368</v>
      </c>
      <c r="D126" s="115" t="s">
        <v>365</v>
      </c>
      <c r="E126" s="117" t="s">
        <v>367</v>
      </c>
      <c r="F126" s="112">
        <v>12</v>
      </c>
      <c r="G126" s="113">
        <v>2328.85</v>
      </c>
    </row>
    <row r="127" spans="2:7" ht="15" customHeight="1" thickTop="1" thickBot="1" x14ac:dyDescent="0.25">
      <c r="B127" s="246"/>
      <c r="C127" s="194" t="s">
        <v>327</v>
      </c>
      <c r="D127" s="195"/>
      <c r="E127" s="196"/>
      <c r="F127" s="118" t="s">
        <v>0</v>
      </c>
      <c r="G127" s="119" t="s">
        <v>1</v>
      </c>
    </row>
    <row r="128" spans="2:7" ht="15" customHeight="1" thickBot="1" x14ac:dyDescent="0.25">
      <c r="B128" s="245">
        <v>6040378</v>
      </c>
      <c r="C128" s="120">
        <v>6040378</v>
      </c>
      <c r="D128" s="120" t="s">
        <v>182</v>
      </c>
      <c r="E128" s="121" t="s">
        <v>179</v>
      </c>
      <c r="F128" s="122">
        <v>80</v>
      </c>
      <c r="G128" s="123">
        <v>588.33000000000004</v>
      </c>
    </row>
    <row r="129" spans="2:7" ht="15" customHeight="1" thickBot="1" x14ac:dyDescent="0.25">
      <c r="B129" s="245">
        <v>6040378</v>
      </c>
      <c r="C129" s="120">
        <v>6040377</v>
      </c>
      <c r="D129" s="120" t="s">
        <v>182</v>
      </c>
      <c r="E129" s="111" t="s">
        <v>178</v>
      </c>
      <c r="F129" s="122">
        <v>80</v>
      </c>
      <c r="G129" s="123">
        <v>588.33000000000004</v>
      </c>
    </row>
    <row r="130" spans="2:7" ht="15" customHeight="1" thickBot="1" x14ac:dyDescent="0.25">
      <c r="B130" s="245">
        <v>6040380</v>
      </c>
      <c r="C130" s="120">
        <v>6040380</v>
      </c>
      <c r="D130" s="120" t="s">
        <v>183</v>
      </c>
      <c r="E130" s="121" t="s">
        <v>179</v>
      </c>
      <c r="F130" s="122">
        <v>60</v>
      </c>
      <c r="G130" s="123">
        <v>1814</v>
      </c>
    </row>
    <row r="131" spans="2:7" ht="15" customHeight="1" thickBot="1" x14ac:dyDescent="0.25">
      <c r="B131" s="245">
        <v>6040380</v>
      </c>
      <c r="C131" s="120">
        <v>6040379</v>
      </c>
      <c r="D131" s="120" t="s">
        <v>183</v>
      </c>
      <c r="E131" s="111" t="s">
        <v>178</v>
      </c>
      <c r="F131" s="122">
        <v>60</v>
      </c>
      <c r="G131" s="123">
        <v>1814</v>
      </c>
    </row>
    <row r="132" spans="2:7" ht="15" customHeight="1" thickBot="1" x14ac:dyDescent="0.25">
      <c r="B132" s="245">
        <v>6040371</v>
      </c>
      <c r="C132" s="120">
        <v>6040371</v>
      </c>
      <c r="D132" s="120" t="s">
        <v>184</v>
      </c>
      <c r="E132" s="121" t="s">
        <v>185</v>
      </c>
      <c r="F132" s="122">
        <v>24</v>
      </c>
      <c r="G132" s="123">
        <v>796.72</v>
      </c>
    </row>
    <row r="133" spans="2:7" ht="15" customHeight="1" thickBot="1" x14ac:dyDescent="0.25">
      <c r="B133" s="245">
        <v>6040371</v>
      </c>
      <c r="C133" s="120">
        <v>6040372</v>
      </c>
      <c r="D133" s="120" t="s">
        <v>184</v>
      </c>
      <c r="E133" s="121" t="s">
        <v>168</v>
      </c>
      <c r="F133" s="122">
        <v>24</v>
      </c>
      <c r="G133" s="123">
        <v>796.72</v>
      </c>
    </row>
    <row r="134" spans="2:7" ht="15" customHeight="1" thickBot="1" x14ac:dyDescent="0.25">
      <c r="B134" s="245">
        <v>6040374</v>
      </c>
      <c r="C134" s="120">
        <v>6040374</v>
      </c>
      <c r="D134" s="120" t="s">
        <v>328</v>
      </c>
      <c r="E134" s="121" t="s">
        <v>185</v>
      </c>
      <c r="F134" s="122">
        <v>36</v>
      </c>
      <c r="G134" s="123">
        <v>2328.85</v>
      </c>
    </row>
    <row r="135" spans="2:7" ht="15" customHeight="1" thickBot="1" x14ac:dyDescent="0.25">
      <c r="B135" s="245">
        <v>6040374</v>
      </c>
      <c r="C135" s="120">
        <v>6040375</v>
      </c>
      <c r="D135" s="120" t="s">
        <v>328</v>
      </c>
      <c r="E135" s="121" t="s">
        <v>168</v>
      </c>
      <c r="F135" s="122">
        <v>36</v>
      </c>
      <c r="G135" s="123">
        <v>2328.85</v>
      </c>
    </row>
    <row r="136" spans="2:7" ht="15" customHeight="1" thickTop="1" thickBot="1" x14ac:dyDescent="0.25">
      <c r="B136" s="226"/>
      <c r="C136" s="124"/>
      <c r="D136" s="124"/>
      <c r="E136" s="125"/>
      <c r="F136" s="118" t="s">
        <v>0</v>
      </c>
      <c r="G136" s="119" t="s">
        <v>1</v>
      </c>
    </row>
    <row r="137" spans="2:7" ht="15" customHeight="1" thickTop="1" thickBot="1" x14ac:dyDescent="0.25">
      <c r="B137" s="247">
        <v>3260006</v>
      </c>
      <c r="C137" s="126">
        <v>3260006</v>
      </c>
      <c r="D137" s="127" t="s">
        <v>186</v>
      </c>
      <c r="E137" s="127" t="s">
        <v>187</v>
      </c>
      <c r="F137" s="128">
        <v>12</v>
      </c>
      <c r="G137" s="129">
        <v>8151</v>
      </c>
    </row>
    <row r="138" spans="2:7" ht="15" customHeight="1" thickTop="1" thickBot="1" x14ac:dyDescent="0.25">
      <c r="B138" s="247">
        <v>3260006</v>
      </c>
      <c r="C138" s="130">
        <v>3260005</v>
      </c>
      <c r="D138" s="127" t="s">
        <v>186</v>
      </c>
      <c r="E138" s="127" t="s">
        <v>188</v>
      </c>
      <c r="F138" s="128">
        <v>12</v>
      </c>
      <c r="G138" s="129">
        <v>8151</v>
      </c>
    </row>
    <row r="139" spans="2:7" ht="15" customHeight="1" thickTop="1" thickBot="1" x14ac:dyDescent="0.25">
      <c r="B139" s="247">
        <v>3260006</v>
      </c>
      <c r="C139" s="126">
        <v>3260007</v>
      </c>
      <c r="D139" s="127" t="s">
        <v>186</v>
      </c>
      <c r="E139" s="127" t="s">
        <v>189</v>
      </c>
      <c r="F139" s="128">
        <v>12</v>
      </c>
      <c r="G139" s="129">
        <v>8151</v>
      </c>
    </row>
    <row r="140" spans="2:7" ht="15" customHeight="1" thickTop="1" thickBot="1" x14ac:dyDescent="0.25">
      <c r="B140" s="247">
        <v>3260006</v>
      </c>
      <c r="C140" s="130">
        <v>3260004</v>
      </c>
      <c r="D140" s="127" t="s">
        <v>186</v>
      </c>
      <c r="E140" s="127" t="s">
        <v>190</v>
      </c>
      <c r="F140" s="128">
        <v>9</v>
      </c>
      <c r="G140" s="129">
        <v>8151</v>
      </c>
    </row>
    <row r="141" spans="2:7" ht="15" customHeight="1" thickTop="1" thickBot="1" x14ac:dyDescent="0.25">
      <c r="B141" s="247">
        <v>3260006</v>
      </c>
      <c r="C141" s="126">
        <v>3260002</v>
      </c>
      <c r="D141" s="127" t="s">
        <v>186</v>
      </c>
      <c r="E141" s="127" t="s">
        <v>191</v>
      </c>
      <c r="F141" s="128">
        <v>12</v>
      </c>
      <c r="G141" s="129">
        <v>5577</v>
      </c>
    </row>
    <row r="142" spans="2:7" ht="15" customHeight="1" thickTop="1" thickBot="1" x14ac:dyDescent="0.25">
      <c r="B142" s="247">
        <v>3260006</v>
      </c>
      <c r="C142" s="131">
        <v>3260001</v>
      </c>
      <c r="D142" s="127" t="s">
        <v>186</v>
      </c>
      <c r="E142" s="127" t="s">
        <v>192</v>
      </c>
      <c r="F142" s="128">
        <v>12</v>
      </c>
      <c r="G142" s="129">
        <v>5577</v>
      </c>
    </row>
    <row r="143" spans="2:7" ht="15" customHeight="1" thickTop="1" thickBot="1" x14ac:dyDescent="0.25">
      <c r="B143" s="247">
        <v>3260006</v>
      </c>
      <c r="C143" s="131">
        <v>3260003</v>
      </c>
      <c r="D143" s="127" t="s">
        <v>186</v>
      </c>
      <c r="E143" s="127" t="s">
        <v>193</v>
      </c>
      <c r="F143" s="128">
        <v>12</v>
      </c>
      <c r="G143" s="129">
        <v>5577</v>
      </c>
    </row>
    <row r="144" spans="2:7" ht="15" customHeight="1" thickTop="1" thickBot="1" x14ac:dyDescent="0.25">
      <c r="B144" s="247">
        <v>3260006</v>
      </c>
      <c r="C144" s="130">
        <v>3232002</v>
      </c>
      <c r="D144" s="127" t="s">
        <v>186</v>
      </c>
      <c r="E144" s="127" t="s">
        <v>329</v>
      </c>
      <c r="F144" s="128">
        <v>12</v>
      </c>
      <c r="G144" s="129">
        <v>9891.35</v>
      </c>
    </row>
    <row r="145" spans="2:7" ht="15" customHeight="1" thickTop="1" thickBot="1" x14ac:dyDescent="0.25">
      <c r="B145" s="247">
        <v>3260006</v>
      </c>
      <c r="C145" s="130">
        <v>3232001</v>
      </c>
      <c r="D145" s="127" t="s">
        <v>186</v>
      </c>
      <c r="E145" s="127" t="s">
        <v>330</v>
      </c>
      <c r="F145" s="128">
        <v>12</v>
      </c>
      <c r="G145" s="129">
        <v>9891.5</v>
      </c>
    </row>
    <row r="146" spans="2:7" ht="15" customHeight="1" thickTop="1" thickBot="1" x14ac:dyDescent="0.25">
      <c r="B146" s="247">
        <v>3260006</v>
      </c>
      <c r="C146" s="130">
        <v>3232003</v>
      </c>
      <c r="D146" s="127" t="s">
        <v>186</v>
      </c>
      <c r="E146" s="127" t="s">
        <v>194</v>
      </c>
      <c r="F146" s="128">
        <v>12</v>
      </c>
      <c r="G146" s="129">
        <v>9891.5</v>
      </c>
    </row>
    <row r="147" spans="2:7" ht="15" customHeight="1" thickTop="1" thickBot="1" x14ac:dyDescent="0.25">
      <c r="B147" s="248">
        <v>3200022</v>
      </c>
      <c r="C147" s="130">
        <v>3200022</v>
      </c>
      <c r="D147" s="127" t="s">
        <v>195</v>
      </c>
      <c r="E147" s="127" t="s">
        <v>196</v>
      </c>
      <c r="F147" s="128">
        <v>8</v>
      </c>
      <c r="G147" s="129">
        <v>21572.560000000001</v>
      </c>
    </row>
    <row r="148" spans="2:7" ht="15" customHeight="1" thickTop="1" thickBot="1" x14ac:dyDescent="0.25">
      <c r="B148" s="248">
        <v>3200022</v>
      </c>
      <c r="C148" s="126">
        <v>3200023</v>
      </c>
      <c r="D148" s="127" t="s">
        <v>195</v>
      </c>
      <c r="E148" s="127" t="s">
        <v>197</v>
      </c>
      <c r="F148" s="128">
        <v>8</v>
      </c>
      <c r="G148" s="129">
        <v>21572.560000000001</v>
      </c>
    </row>
    <row r="149" spans="2:7" ht="15" customHeight="1" thickTop="1" thickBot="1" x14ac:dyDescent="0.25">
      <c r="B149" s="248">
        <v>3200022</v>
      </c>
      <c r="C149" s="132">
        <v>3200033</v>
      </c>
      <c r="D149" s="127" t="s">
        <v>195</v>
      </c>
      <c r="E149" s="127" t="s">
        <v>198</v>
      </c>
      <c r="F149" s="128">
        <v>8</v>
      </c>
      <c r="G149" s="129">
        <v>21572.560000000001</v>
      </c>
    </row>
    <row r="150" spans="2:7" ht="15" customHeight="1" thickTop="1" thickBot="1" x14ac:dyDescent="0.25">
      <c r="B150" s="226"/>
      <c r="C150" s="197" t="s">
        <v>331</v>
      </c>
      <c r="D150" s="198"/>
      <c r="E150" s="199"/>
      <c r="F150" s="118" t="s">
        <v>0</v>
      </c>
      <c r="G150" s="119" t="s">
        <v>1</v>
      </c>
    </row>
    <row r="151" spans="2:7" ht="27" thickTop="1" thickBot="1" x14ac:dyDescent="0.25">
      <c r="B151" s="249">
        <v>3733006</v>
      </c>
      <c r="C151" s="133">
        <v>3733006</v>
      </c>
      <c r="D151" s="133" t="s">
        <v>199</v>
      </c>
      <c r="E151" s="134" t="s">
        <v>378</v>
      </c>
      <c r="F151" s="128">
        <v>12</v>
      </c>
      <c r="G151" s="129">
        <v>3309.42</v>
      </c>
    </row>
    <row r="152" spans="2:7" ht="27" thickTop="1" thickBot="1" x14ac:dyDescent="0.25">
      <c r="B152" s="249">
        <v>3733006</v>
      </c>
      <c r="C152" s="130">
        <v>3733008</v>
      </c>
      <c r="D152" s="133" t="s">
        <v>199</v>
      </c>
      <c r="E152" s="134" t="s">
        <v>202</v>
      </c>
      <c r="F152" s="128">
        <v>12</v>
      </c>
      <c r="G152" s="129">
        <v>3309.42</v>
      </c>
    </row>
    <row r="153" spans="2:7" ht="57" customHeight="1" thickTop="1" thickBot="1" x14ac:dyDescent="0.25">
      <c r="B153" s="250">
        <v>3733005</v>
      </c>
      <c r="C153" s="136">
        <v>3733007</v>
      </c>
      <c r="D153" s="133" t="s">
        <v>379</v>
      </c>
      <c r="E153" s="134" t="s">
        <v>201</v>
      </c>
      <c r="F153" s="128">
        <v>12</v>
      </c>
      <c r="G153" s="129">
        <v>3493.29</v>
      </c>
    </row>
    <row r="154" spans="2:7" ht="44.25" customHeight="1" thickTop="1" thickBot="1" x14ac:dyDescent="0.25">
      <c r="B154" s="250">
        <v>3733005</v>
      </c>
      <c r="C154" s="135">
        <v>3733005</v>
      </c>
      <c r="D154" s="133" t="s">
        <v>379</v>
      </c>
      <c r="E154" s="134" t="s">
        <v>200</v>
      </c>
      <c r="F154" s="128">
        <v>12</v>
      </c>
      <c r="G154" s="129">
        <v>3493.29</v>
      </c>
    </row>
    <row r="155" spans="2:7" ht="15" customHeight="1" thickTop="1" thickBot="1" x14ac:dyDescent="0.25">
      <c r="B155" s="251">
        <v>3732004</v>
      </c>
      <c r="C155" s="131">
        <v>3732004</v>
      </c>
      <c r="D155" s="134" t="s">
        <v>332</v>
      </c>
      <c r="E155" s="134" t="s">
        <v>380</v>
      </c>
      <c r="F155" s="128">
        <v>8</v>
      </c>
      <c r="G155" s="129">
        <v>18630.849999999999</v>
      </c>
    </row>
    <row r="156" spans="2:7" ht="15" customHeight="1" thickTop="1" thickBot="1" x14ac:dyDescent="0.25">
      <c r="B156" s="251">
        <v>3732004</v>
      </c>
      <c r="C156" s="130">
        <v>3732002</v>
      </c>
      <c r="D156" s="134" t="s">
        <v>332</v>
      </c>
      <c r="E156" s="134" t="s">
        <v>202</v>
      </c>
      <c r="F156" s="128">
        <v>8</v>
      </c>
      <c r="G156" s="129">
        <v>18630.849999999999</v>
      </c>
    </row>
    <row r="157" spans="2:7" ht="15" customHeight="1" thickTop="1" thickBot="1" x14ac:dyDescent="0.25">
      <c r="B157" s="252">
        <v>3732001</v>
      </c>
      <c r="C157" s="136">
        <v>3732001</v>
      </c>
      <c r="D157" s="134" t="s">
        <v>203</v>
      </c>
      <c r="E157" s="134" t="s">
        <v>200</v>
      </c>
      <c r="F157" s="128">
        <v>8</v>
      </c>
      <c r="G157" s="129">
        <v>18630.849999999999</v>
      </c>
    </row>
    <row r="158" spans="2:7" ht="15" customHeight="1" thickTop="1" thickBot="1" x14ac:dyDescent="0.25">
      <c r="B158" s="252">
        <v>3732001</v>
      </c>
      <c r="C158" s="130">
        <v>3732003</v>
      </c>
      <c r="D158" s="134" t="s">
        <v>203</v>
      </c>
      <c r="E158" s="134" t="s">
        <v>201</v>
      </c>
      <c r="F158" s="128">
        <v>8</v>
      </c>
      <c r="G158" s="129">
        <v>18630.849999999999</v>
      </c>
    </row>
    <row r="159" spans="2:7" ht="15" customHeight="1" thickTop="1" thickBot="1" x14ac:dyDescent="0.25">
      <c r="B159" s="253">
        <v>3760102</v>
      </c>
      <c r="C159" s="137">
        <v>3760102</v>
      </c>
      <c r="D159" s="138"/>
      <c r="E159" s="138" t="s">
        <v>204</v>
      </c>
      <c r="F159" s="128">
        <v>12</v>
      </c>
      <c r="G159" s="129">
        <v>20715</v>
      </c>
    </row>
    <row r="160" spans="2:7" ht="15" customHeight="1" thickTop="1" thickBot="1" x14ac:dyDescent="0.25">
      <c r="B160" s="248">
        <v>3760101</v>
      </c>
      <c r="C160" s="130">
        <v>3760101</v>
      </c>
      <c r="D160" s="138"/>
      <c r="E160" s="138" t="s">
        <v>205</v>
      </c>
      <c r="F160" s="128">
        <v>12</v>
      </c>
      <c r="G160" s="129">
        <v>20715</v>
      </c>
    </row>
    <row r="161" spans="2:7" ht="15" customHeight="1" thickTop="1" thickBot="1" x14ac:dyDescent="0.25">
      <c r="B161" s="226"/>
      <c r="C161" s="200" t="s">
        <v>19</v>
      </c>
      <c r="D161" s="201"/>
      <c r="E161" s="202"/>
      <c r="F161" s="118" t="s">
        <v>0</v>
      </c>
      <c r="G161" s="119" t="s">
        <v>1</v>
      </c>
    </row>
    <row r="162" spans="2:7" ht="15" customHeight="1" thickBot="1" x14ac:dyDescent="0.25">
      <c r="B162" s="245">
        <v>6040875</v>
      </c>
      <c r="C162" s="115">
        <v>6040875</v>
      </c>
      <c r="D162" s="139" t="s">
        <v>206</v>
      </c>
      <c r="E162" s="140" t="s">
        <v>333</v>
      </c>
      <c r="F162" s="141">
        <v>12</v>
      </c>
      <c r="G162" s="113">
        <v>1814.05</v>
      </c>
    </row>
    <row r="163" spans="2:7" ht="15" customHeight="1" thickBot="1" x14ac:dyDescent="0.25">
      <c r="B163" s="248">
        <v>6040880</v>
      </c>
      <c r="C163" s="139">
        <v>6040926</v>
      </c>
      <c r="D163" s="139" t="s">
        <v>206</v>
      </c>
      <c r="E163" s="142" t="s">
        <v>207</v>
      </c>
      <c r="F163" s="141">
        <v>15</v>
      </c>
      <c r="G163" s="113">
        <v>2267.56</v>
      </c>
    </row>
    <row r="164" spans="2:7" ht="15" customHeight="1" thickBot="1" x14ac:dyDescent="0.25">
      <c r="B164" s="248">
        <v>6040880</v>
      </c>
      <c r="C164" s="139">
        <v>6040880</v>
      </c>
      <c r="D164" s="139" t="s">
        <v>206</v>
      </c>
      <c r="E164" s="140" t="s">
        <v>208</v>
      </c>
      <c r="F164" s="141">
        <v>7</v>
      </c>
      <c r="G164" s="113">
        <v>4081.62</v>
      </c>
    </row>
    <row r="165" spans="2:7" ht="15" customHeight="1" thickBot="1" x14ac:dyDescent="0.25">
      <c r="B165" s="247">
        <v>6040922</v>
      </c>
      <c r="C165" s="143">
        <v>6040922</v>
      </c>
      <c r="D165" s="143"/>
      <c r="E165" s="144" t="s">
        <v>381</v>
      </c>
      <c r="F165" s="143">
        <v>15</v>
      </c>
      <c r="G165" s="113">
        <v>1899</v>
      </c>
    </row>
    <row r="166" spans="2:7" ht="15" customHeight="1" thickBot="1" x14ac:dyDescent="0.25">
      <c r="B166" s="254">
        <v>6040912</v>
      </c>
      <c r="C166" s="141">
        <v>6040912</v>
      </c>
      <c r="D166" s="141"/>
      <c r="E166" s="142" t="s">
        <v>209</v>
      </c>
      <c r="F166" s="143">
        <v>16</v>
      </c>
      <c r="G166" s="113">
        <v>2145</v>
      </c>
    </row>
    <row r="167" spans="2:7" ht="15" customHeight="1" thickBot="1" x14ac:dyDescent="0.25">
      <c r="B167" s="247">
        <v>6040909</v>
      </c>
      <c r="C167" s="143">
        <v>6040909</v>
      </c>
      <c r="D167" s="143"/>
      <c r="E167" s="140" t="s">
        <v>382</v>
      </c>
      <c r="F167" s="145">
        <v>3</v>
      </c>
      <c r="G167" s="113">
        <v>8750</v>
      </c>
    </row>
    <row r="168" spans="2:7" ht="15" customHeight="1" thickTop="1" thickBot="1" x14ac:dyDescent="0.25">
      <c r="B168" s="226"/>
      <c r="C168" s="203" t="s">
        <v>20</v>
      </c>
      <c r="D168" s="204"/>
      <c r="E168" s="204"/>
      <c r="F168" s="146" t="s">
        <v>0</v>
      </c>
      <c r="G168" s="119" t="s">
        <v>1</v>
      </c>
    </row>
    <row r="169" spans="2:7" ht="15" customHeight="1" thickTop="1" thickBot="1" x14ac:dyDescent="0.25">
      <c r="B169" s="255">
        <v>6042053</v>
      </c>
      <c r="C169" s="110">
        <v>6042053</v>
      </c>
      <c r="D169" s="110" t="s">
        <v>210</v>
      </c>
      <c r="E169" s="147" t="s">
        <v>211</v>
      </c>
      <c r="F169" s="141">
        <v>24</v>
      </c>
      <c r="G169" s="113">
        <v>943.8</v>
      </c>
    </row>
    <row r="170" spans="2:7" ht="15" customHeight="1" thickBot="1" x14ac:dyDescent="0.25">
      <c r="B170" s="255">
        <v>6042053</v>
      </c>
      <c r="C170" s="115">
        <v>6042054</v>
      </c>
      <c r="D170" s="110" t="s">
        <v>210</v>
      </c>
      <c r="E170" s="140" t="s">
        <v>212</v>
      </c>
      <c r="F170" s="141">
        <v>24</v>
      </c>
      <c r="G170" s="113">
        <v>943.8</v>
      </c>
    </row>
    <row r="171" spans="2:7" ht="15" customHeight="1" thickBot="1" x14ac:dyDescent="0.25">
      <c r="B171" s="255">
        <v>6042053</v>
      </c>
      <c r="C171" s="115">
        <v>6042055</v>
      </c>
      <c r="D171" s="110" t="s">
        <v>210</v>
      </c>
      <c r="E171" s="140" t="s">
        <v>213</v>
      </c>
      <c r="F171" s="141">
        <v>24</v>
      </c>
      <c r="G171" s="113">
        <v>943.8</v>
      </c>
    </row>
    <row r="172" spans="2:7" ht="15" customHeight="1" thickBot="1" x14ac:dyDescent="0.25">
      <c r="B172" s="245">
        <v>6042153</v>
      </c>
      <c r="C172" s="115">
        <v>6042153</v>
      </c>
      <c r="D172" s="115" t="s">
        <v>214</v>
      </c>
      <c r="E172" s="147" t="s">
        <v>211</v>
      </c>
      <c r="F172" s="141">
        <v>24</v>
      </c>
      <c r="G172" s="113">
        <v>1305.4000000000001</v>
      </c>
    </row>
    <row r="173" spans="2:7" ht="15" customHeight="1" thickBot="1" x14ac:dyDescent="0.25">
      <c r="B173" s="245">
        <v>6042153</v>
      </c>
      <c r="C173" s="115">
        <v>6042154</v>
      </c>
      <c r="D173" s="115" t="s">
        <v>214</v>
      </c>
      <c r="E173" s="140" t="s">
        <v>212</v>
      </c>
      <c r="F173" s="141">
        <v>24</v>
      </c>
      <c r="G173" s="113">
        <v>1305.4000000000001</v>
      </c>
    </row>
    <row r="174" spans="2:7" ht="15" customHeight="1" thickBot="1" x14ac:dyDescent="0.25">
      <c r="B174" s="245">
        <v>6042153</v>
      </c>
      <c r="C174" s="115">
        <v>6042155</v>
      </c>
      <c r="D174" s="115" t="s">
        <v>214</v>
      </c>
      <c r="E174" s="140" t="s">
        <v>213</v>
      </c>
      <c r="F174" s="141">
        <v>24</v>
      </c>
      <c r="G174" s="113">
        <v>1305.4000000000001</v>
      </c>
    </row>
    <row r="175" spans="2:7" ht="15" customHeight="1" thickBot="1" x14ac:dyDescent="0.25">
      <c r="B175" s="256">
        <v>6042156</v>
      </c>
      <c r="C175" s="116">
        <v>6042156</v>
      </c>
      <c r="D175" s="115" t="s">
        <v>214</v>
      </c>
      <c r="E175" s="140" t="s">
        <v>215</v>
      </c>
      <c r="F175" s="141">
        <v>18</v>
      </c>
      <c r="G175" s="113">
        <v>1617.93</v>
      </c>
    </row>
    <row r="176" spans="2:7" ht="15" customHeight="1" thickBot="1" x14ac:dyDescent="0.25">
      <c r="B176" s="256">
        <v>6042156</v>
      </c>
      <c r="C176" s="115">
        <v>6042157</v>
      </c>
      <c r="D176" s="115" t="s">
        <v>214</v>
      </c>
      <c r="E176" s="140" t="s">
        <v>216</v>
      </c>
      <c r="F176" s="141">
        <v>18</v>
      </c>
      <c r="G176" s="113">
        <v>1617.93</v>
      </c>
    </row>
    <row r="177" spans="2:7" ht="15" customHeight="1" thickBot="1" x14ac:dyDescent="0.25">
      <c r="B177" s="245">
        <v>6042116</v>
      </c>
      <c r="C177" s="115">
        <v>6042116</v>
      </c>
      <c r="D177" s="115"/>
      <c r="E177" s="140" t="s">
        <v>383</v>
      </c>
      <c r="F177" s="141">
        <v>30</v>
      </c>
      <c r="G177" s="113">
        <v>2610.77</v>
      </c>
    </row>
    <row r="178" spans="2:7" ht="15" customHeight="1" thickBot="1" x14ac:dyDescent="0.25">
      <c r="B178" s="256">
        <v>6042118</v>
      </c>
      <c r="C178" s="116">
        <v>6042118</v>
      </c>
      <c r="D178" s="116"/>
      <c r="E178" s="140" t="s">
        <v>384</v>
      </c>
      <c r="F178" s="143">
        <v>10</v>
      </c>
      <c r="G178" s="113">
        <v>3003</v>
      </c>
    </row>
    <row r="179" spans="2:7" ht="15" customHeight="1" thickBot="1" x14ac:dyDescent="0.25">
      <c r="B179" s="257">
        <v>6060507</v>
      </c>
      <c r="C179" s="148">
        <v>6060507</v>
      </c>
      <c r="D179" s="148"/>
      <c r="E179" s="149" t="s">
        <v>21</v>
      </c>
      <c r="F179" s="150">
        <v>15</v>
      </c>
      <c r="G179" s="113">
        <v>2083.7199999999998</v>
      </c>
    </row>
    <row r="180" spans="2:7" ht="15" customHeight="1" thickTop="1" thickBot="1" x14ac:dyDescent="0.25">
      <c r="B180" s="226"/>
      <c r="C180" s="200" t="s">
        <v>22</v>
      </c>
      <c r="D180" s="201"/>
      <c r="E180" s="201"/>
      <c r="F180" s="146" t="s">
        <v>0</v>
      </c>
      <c r="G180" s="119" t="s">
        <v>1</v>
      </c>
    </row>
    <row r="181" spans="2:7" ht="15" customHeight="1" thickBot="1" x14ac:dyDescent="0.25">
      <c r="B181" s="225">
        <v>6043924</v>
      </c>
      <c r="C181" s="115">
        <v>6043924</v>
      </c>
      <c r="D181" s="115" t="s">
        <v>217</v>
      </c>
      <c r="E181" s="142" t="s">
        <v>218</v>
      </c>
      <c r="F181" s="112">
        <v>12</v>
      </c>
      <c r="G181" s="113">
        <v>2206.3000000000002</v>
      </c>
    </row>
    <row r="182" spans="2:7" ht="15" customHeight="1" thickBot="1" x14ac:dyDescent="0.25">
      <c r="B182" s="225">
        <v>6043924</v>
      </c>
      <c r="C182" s="115">
        <v>6043922</v>
      </c>
      <c r="D182" s="115" t="s">
        <v>217</v>
      </c>
      <c r="E182" s="142" t="s">
        <v>219</v>
      </c>
      <c r="F182" s="112">
        <v>12</v>
      </c>
      <c r="G182" s="113">
        <v>2206.3000000000002</v>
      </c>
    </row>
    <row r="183" spans="2:7" ht="15" customHeight="1" thickBot="1" x14ac:dyDescent="0.25">
      <c r="B183" s="225">
        <v>6043924</v>
      </c>
      <c r="C183" s="115">
        <v>6043923</v>
      </c>
      <c r="D183" s="115" t="s">
        <v>217</v>
      </c>
      <c r="E183" s="142" t="s">
        <v>220</v>
      </c>
      <c r="F183" s="112">
        <v>12</v>
      </c>
      <c r="G183" s="113">
        <v>2206.3000000000002</v>
      </c>
    </row>
    <row r="184" spans="2:7" ht="15" customHeight="1" thickBot="1" x14ac:dyDescent="0.25">
      <c r="B184" s="225">
        <v>6045924</v>
      </c>
      <c r="C184" s="115">
        <v>6045924</v>
      </c>
      <c r="D184" s="115" t="s">
        <v>221</v>
      </c>
      <c r="E184" s="142" t="s">
        <v>218</v>
      </c>
      <c r="F184" s="112">
        <v>12</v>
      </c>
      <c r="G184" s="113">
        <v>2206.3000000000002</v>
      </c>
    </row>
    <row r="185" spans="2:7" ht="15" customHeight="1" thickBot="1" x14ac:dyDescent="0.25">
      <c r="B185" s="225">
        <v>6045924</v>
      </c>
      <c r="C185" s="115">
        <v>6045922</v>
      </c>
      <c r="D185" s="115" t="s">
        <v>221</v>
      </c>
      <c r="E185" s="142" t="s">
        <v>219</v>
      </c>
      <c r="F185" s="112">
        <v>12</v>
      </c>
      <c r="G185" s="113">
        <v>2206.3000000000002</v>
      </c>
    </row>
    <row r="186" spans="2:7" ht="15" customHeight="1" thickBot="1" x14ac:dyDescent="0.25">
      <c r="B186" s="225">
        <v>6045924</v>
      </c>
      <c r="C186" s="115">
        <v>6045923</v>
      </c>
      <c r="D186" s="115" t="s">
        <v>221</v>
      </c>
      <c r="E186" s="142" t="s">
        <v>220</v>
      </c>
      <c r="F186" s="112">
        <v>12</v>
      </c>
      <c r="G186" s="113">
        <v>2206.3000000000002</v>
      </c>
    </row>
    <row r="187" spans="2:7" ht="15" customHeight="1" thickBot="1" x14ac:dyDescent="0.25">
      <c r="B187" s="225">
        <v>6043910</v>
      </c>
      <c r="C187" s="115">
        <v>6043910</v>
      </c>
      <c r="D187" s="115" t="s">
        <v>222</v>
      </c>
      <c r="E187" s="142" t="s">
        <v>223</v>
      </c>
      <c r="F187" s="112">
        <v>12</v>
      </c>
      <c r="G187" s="113">
        <v>2328.85</v>
      </c>
    </row>
    <row r="188" spans="2:7" ht="15" customHeight="1" thickBot="1" x14ac:dyDescent="0.25">
      <c r="B188" s="225">
        <v>6043910</v>
      </c>
      <c r="C188" s="115">
        <v>6043912</v>
      </c>
      <c r="D188" s="115" t="s">
        <v>222</v>
      </c>
      <c r="E188" s="142" t="s">
        <v>224</v>
      </c>
      <c r="F188" s="112">
        <v>12</v>
      </c>
      <c r="G188" s="113">
        <v>2328.85</v>
      </c>
    </row>
    <row r="189" spans="2:7" ht="15" customHeight="1" thickBot="1" x14ac:dyDescent="0.25">
      <c r="B189" s="225">
        <v>6043910</v>
      </c>
      <c r="C189" s="115">
        <v>6043911</v>
      </c>
      <c r="D189" s="115" t="s">
        <v>222</v>
      </c>
      <c r="E189" s="142" t="s">
        <v>225</v>
      </c>
      <c r="F189" s="112">
        <v>12</v>
      </c>
      <c r="G189" s="113">
        <v>2328.85</v>
      </c>
    </row>
    <row r="190" spans="2:7" ht="15" customHeight="1" thickBot="1" x14ac:dyDescent="0.25">
      <c r="B190" s="225">
        <v>6045910</v>
      </c>
      <c r="C190" s="115">
        <v>6045910</v>
      </c>
      <c r="D190" s="115" t="s">
        <v>226</v>
      </c>
      <c r="E190" s="142" t="s">
        <v>223</v>
      </c>
      <c r="F190" s="112">
        <v>12</v>
      </c>
      <c r="G190" s="113">
        <v>2328.85</v>
      </c>
    </row>
    <row r="191" spans="2:7" ht="15" customHeight="1" thickBot="1" x14ac:dyDescent="0.25">
      <c r="B191" s="225">
        <v>6045910</v>
      </c>
      <c r="C191" s="115">
        <v>6045912</v>
      </c>
      <c r="D191" s="115" t="s">
        <v>226</v>
      </c>
      <c r="E191" s="142" t="s">
        <v>224</v>
      </c>
      <c r="F191" s="112">
        <v>12</v>
      </c>
      <c r="G191" s="113">
        <v>2328.85</v>
      </c>
    </row>
    <row r="192" spans="2:7" ht="15" customHeight="1" thickBot="1" x14ac:dyDescent="0.25">
      <c r="B192" s="225">
        <v>6045910</v>
      </c>
      <c r="C192" s="115">
        <v>6045911</v>
      </c>
      <c r="D192" s="115" t="s">
        <v>226</v>
      </c>
      <c r="E192" s="142" t="s">
        <v>225</v>
      </c>
      <c r="F192" s="112">
        <v>12</v>
      </c>
      <c r="G192" s="113">
        <v>2328.85</v>
      </c>
    </row>
    <row r="193" spans="2:7" ht="15" customHeight="1" thickBot="1" x14ac:dyDescent="0.25">
      <c r="B193" s="233">
        <v>6043301</v>
      </c>
      <c r="C193" s="116">
        <v>6043301</v>
      </c>
      <c r="D193" s="116" t="s">
        <v>227</v>
      </c>
      <c r="E193" s="140" t="s">
        <v>228</v>
      </c>
      <c r="F193" s="112">
        <v>12</v>
      </c>
      <c r="G193" s="113">
        <v>1287</v>
      </c>
    </row>
    <row r="194" spans="2:7" ht="15" customHeight="1" thickBot="1" x14ac:dyDescent="0.25">
      <c r="B194" s="233">
        <v>6043301</v>
      </c>
      <c r="C194" s="116">
        <v>6043303</v>
      </c>
      <c r="D194" s="116" t="s">
        <v>227</v>
      </c>
      <c r="E194" s="140" t="s">
        <v>229</v>
      </c>
      <c r="F194" s="112">
        <v>12</v>
      </c>
      <c r="G194" s="113">
        <v>1287</v>
      </c>
    </row>
    <row r="195" spans="2:7" ht="15" customHeight="1" thickBot="1" x14ac:dyDescent="0.25">
      <c r="B195" s="233">
        <v>6043301</v>
      </c>
      <c r="C195" s="116">
        <v>6043308</v>
      </c>
      <c r="D195" s="116" t="s">
        <v>227</v>
      </c>
      <c r="E195" s="140" t="s">
        <v>230</v>
      </c>
      <c r="F195" s="112">
        <v>12</v>
      </c>
      <c r="G195" s="113">
        <v>1287</v>
      </c>
    </row>
    <row r="196" spans="2:7" ht="15" customHeight="1" thickBot="1" x14ac:dyDescent="0.25">
      <c r="B196" s="233">
        <v>6045301</v>
      </c>
      <c r="C196" s="116">
        <v>6045301</v>
      </c>
      <c r="D196" s="116" t="s">
        <v>231</v>
      </c>
      <c r="E196" s="140" t="s">
        <v>228</v>
      </c>
      <c r="F196" s="112">
        <v>12</v>
      </c>
      <c r="G196" s="113">
        <v>1287</v>
      </c>
    </row>
    <row r="197" spans="2:7" ht="15" customHeight="1" thickBot="1" x14ac:dyDescent="0.25">
      <c r="B197" s="233">
        <v>6045301</v>
      </c>
      <c r="C197" s="116">
        <v>6045303</v>
      </c>
      <c r="D197" s="116" t="s">
        <v>231</v>
      </c>
      <c r="E197" s="140" t="s">
        <v>229</v>
      </c>
      <c r="F197" s="112">
        <v>12</v>
      </c>
      <c r="G197" s="113">
        <v>1287</v>
      </c>
    </row>
    <row r="198" spans="2:7" ht="15" customHeight="1" thickBot="1" x14ac:dyDescent="0.25">
      <c r="B198" s="233">
        <v>6045301</v>
      </c>
      <c r="C198" s="116">
        <v>6045308</v>
      </c>
      <c r="D198" s="116" t="s">
        <v>231</v>
      </c>
      <c r="E198" s="140" t="s">
        <v>230</v>
      </c>
      <c r="F198" s="112">
        <v>12</v>
      </c>
      <c r="G198" s="113">
        <v>1287</v>
      </c>
    </row>
    <row r="199" spans="2:7" ht="15" customHeight="1" thickBot="1" x14ac:dyDescent="0.25">
      <c r="B199" s="233">
        <v>6043927</v>
      </c>
      <c r="C199" s="151">
        <v>6043927</v>
      </c>
      <c r="D199" s="151" t="s">
        <v>232</v>
      </c>
      <c r="E199" s="152" t="s">
        <v>233</v>
      </c>
      <c r="F199" s="112">
        <v>15</v>
      </c>
      <c r="G199" s="113">
        <v>2904.93</v>
      </c>
    </row>
    <row r="200" spans="2:7" ht="15" customHeight="1" thickBot="1" x14ac:dyDescent="0.25">
      <c r="B200" s="233">
        <v>6043927</v>
      </c>
      <c r="C200" s="151">
        <v>6043926</v>
      </c>
      <c r="D200" s="151" t="s">
        <v>232</v>
      </c>
      <c r="E200" s="152" t="s">
        <v>234</v>
      </c>
      <c r="F200" s="112">
        <v>15</v>
      </c>
      <c r="G200" s="113">
        <v>2904.93</v>
      </c>
    </row>
    <row r="201" spans="2:7" ht="15" customHeight="1" thickBot="1" x14ac:dyDescent="0.25">
      <c r="B201" s="233">
        <v>6043927</v>
      </c>
      <c r="C201" s="151">
        <v>6043928</v>
      </c>
      <c r="D201" s="151" t="s">
        <v>232</v>
      </c>
      <c r="E201" s="152" t="s">
        <v>235</v>
      </c>
      <c r="F201" s="112">
        <v>15</v>
      </c>
      <c r="G201" s="113">
        <v>2904.93</v>
      </c>
    </row>
    <row r="202" spans="2:7" ht="15" customHeight="1" thickBot="1" x14ac:dyDescent="0.25">
      <c r="B202" s="233">
        <v>6045927</v>
      </c>
      <c r="C202" s="116">
        <v>6045927</v>
      </c>
      <c r="D202" s="116" t="s">
        <v>334</v>
      </c>
      <c r="E202" s="142" t="s">
        <v>236</v>
      </c>
      <c r="F202" s="112">
        <v>15</v>
      </c>
      <c r="G202" s="113">
        <v>2904.93</v>
      </c>
    </row>
    <row r="203" spans="2:7" ht="15" customHeight="1" thickBot="1" x14ac:dyDescent="0.25">
      <c r="B203" s="233">
        <v>6045927</v>
      </c>
      <c r="C203" s="116">
        <v>6045928</v>
      </c>
      <c r="D203" s="116" t="s">
        <v>334</v>
      </c>
      <c r="E203" s="142" t="s">
        <v>235</v>
      </c>
      <c r="F203" s="112">
        <v>15</v>
      </c>
      <c r="G203" s="113">
        <v>2904.93</v>
      </c>
    </row>
    <row r="204" spans="2:7" ht="15" customHeight="1" thickBot="1" x14ac:dyDescent="0.25">
      <c r="B204" s="233">
        <v>6045927</v>
      </c>
      <c r="C204" s="116">
        <v>6045926</v>
      </c>
      <c r="D204" s="116" t="s">
        <v>334</v>
      </c>
      <c r="E204" s="142" t="s">
        <v>234</v>
      </c>
      <c r="F204" s="112">
        <v>15</v>
      </c>
      <c r="G204" s="113">
        <v>2904.93</v>
      </c>
    </row>
    <row r="205" spans="2:7" ht="15" customHeight="1" thickBot="1" x14ac:dyDescent="0.25">
      <c r="B205" s="233">
        <v>6043930</v>
      </c>
      <c r="C205" s="153">
        <v>6043930</v>
      </c>
      <c r="D205" s="116" t="s">
        <v>237</v>
      </c>
      <c r="E205" s="142" t="s">
        <v>234</v>
      </c>
      <c r="F205" s="122">
        <v>12</v>
      </c>
      <c r="G205" s="123">
        <v>1617.93</v>
      </c>
    </row>
    <row r="206" spans="2:7" ht="15" customHeight="1" thickBot="1" x14ac:dyDescent="0.25">
      <c r="B206" s="233">
        <v>6043930</v>
      </c>
      <c r="C206" s="153">
        <v>6043931</v>
      </c>
      <c r="D206" s="116" t="s">
        <v>237</v>
      </c>
      <c r="E206" s="142" t="s">
        <v>235</v>
      </c>
      <c r="F206" s="122">
        <v>12</v>
      </c>
      <c r="G206" s="123">
        <v>1617.93</v>
      </c>
    </row>
    <row r="207" spans="2:7" ht="15" customHeight="1" thickBot="1" x14ac:dyDescent="0.25">
      <c r="B207" s="233">
        <v>6043930</v>
      </c>
      <c r="C207" s="153">
        <v>6043929</v>
      </c>
      <c r="D207" s="116" t="s">
        <v>237</v>
      </c>
      <c r="E207" s="142" t="s">
        <v>236</v>
      </c>
      <c r="F207" s="122">
        <v>12</v>
      </c>
      <c r="G207" s="123">
        <v>1617.93</v>
      </c>
    </row>
    <row r="208" spans="2:7" ht="15" customHeight="1" thickBot="1" x14ac:dyDescent="0.25">
      <c r="B208" s="233">
        <v>6045930</v>
      </c>
      <c r="C208" s="153">
        <v>6045930</v>
      </c>
      <c r="D208" s="116" t="s">
        <v>238</v>
      </c>
      <c r="E208" s="121" t="s">
        <v>239</v>
      </c>
      <c r="F208" s="122">
        <v>12</v>
      </c>
      <c r="G208" s="123">
        <v>1617.93</v>
      </c>
    </row>
    <row r="209" spans="2:7" ht="15" customHeight="1" thickBot="1" x14ac:dyDescent="0.25">
      <c r="B209" s="233">
        <v>6045930</v>
      </c>
      <c r="C209" s="153">
        <v>6045929</v>
      </c>
      <c r="D209" s="116" t="s">
        <v>238</v>
      </c>
      <c r="E209" s="121" t="s">
        <v>240</v>
      </c>
      <c r="F209" s="122">
        <v>12</v>
      </c>
      <c r="G209" s="123">
        <v>1617.93</v>
      </c>
    </row>
    <row r="210" spans="2:7" ht="15" customHeight="1" thickBot="1" x14ac:dyDescent="0.25">
      <c r="B210" s="233">
        <v>6045930</v>
      </c>
      <c r="C210" s="153">
        <v>6045931</v>
      </c>
      <c r="D210" s="116" t="s">
        <v>238</v>
      </c>
      <c r="E210" s="121" t="s">
        <v>235</v>
      </c>
      <c r="F210" s="122">
        <v>12</v>
      </c>
      <c r="G210" s="123">
        <v>1617.93</v>
      </c>
    </row>
    <row r="211" spans="2:7" ht="15" customHeight="1" thickBot="1" x14ac:dyDescent="0.25">
      <c r="B211" s="233">
        <v>6070750</v>
      </c>
      <c r="C211" s="116">
        <v>6070750</v>
      </c>
      <c r="D211" s="116" t="s">
        <v>241</v>
      </c>
      <c r="E211" s="140" t="s">
        <v>242</v>
      </c>
      <c r="F211" s="112">
        <v>6</v>
      </c>
      <c r="G211" s="113">
        <v>3248.14</v>
      </c>
    </row>
    <row r="212" spans="2:7" ht="15" customHeight="1" thickBot="1" x14ac:dyDescent="0.25">
      <c r="B212" s="233">
        <v>6070750</v>
      </c>
      <c r="C212" s="116">
        <v>6070700</v>
      </c>
      <c r="D212" s="116" t="s">
        <v>241</v>
      </c>
      <c r="E212" s="140" t="s">
        <v>243</v>
      </c>
      <c r="F212" s="112">
        <v>6</v>
      </c>
      <c r="G212" s="113">
        <v>3248.14</v>
      </c>
    </row>
    <row r="213" spans="2:7" ht="15" customHeight="1" thickBot="1" x14ac:dyDescent="0.25">
      <c r="B213" s="233">
        <v>6070753</v>
      </c>
      <c r="C213" s="116">
        <v>6070753</v>
      </c>
      <c r="D213" s="116" t="s">
        <v>244</v>
      </c>
      <c r="E213" s="140" t="s">
        <v>245</v>
      </c>
      <c r="F213" s="112">
        <v>12</v>
      </c>
      <c r="G213" s="113">
        <v>2451.4299999999998</v>
      </c>
    </row>
    <row r="214" spans="2:7" ht="15" customHeight="1" thickBot="1" x14ac:dyDescent="0.25">
      <c r="B214" s="233">
        <v>6070753</v>
      </c>
      <c r="C214" s="116">
        <v>6070701</v>
      </c>
      <c r="D214" s="116" t="s">
        <v>244</v>
      </c>
      <c r="E214" s="140" t="s">
        <v>243</v>
      </c>
      <c r="F214" s="112">
        <v>12</v>
      </c>
      <c r="G214" s="113">
        <v>2451.4299999999998</v>
      </c>
    </row>
    <row r="215" spans="2:7" ht="15" customHeight="1" thickBot="1" x14ac:dyDescent="0.25">
      <c r="B215" s="225">
        <v>6070525</v>
      </c>
      <c r="C215" s="115">
        <v>6070525</v>
      </c>
      <c r="D215" s="115" t="s">
        <v>246</v>
      </c>
      <c r="E215" s="147" t="s">
        <v>247</v>
      </c>
      <c r="F215" s="141">
        <v>12</v>
      </c>
      <c r="G215" s="113">
        <v>2451.4299999999998</v>
      </c>
    </row>
    <row r="216" spans="2:7" ht="15" customHeight="1" thickBot="1" x14ac:dyDescent="0.25">
      <c r="B216" s="225">
        <v>6070525</v>
      </c>
      <c r="C216" s="115">
        <v>6070526</v>
      </c>
      <c r="D216" s="115" t="s">
        <v>246</v>
      </c>
      <c r="E216" s="147" t="s">
        <v>248</v>
      </c>
      <c r="F216" s="141">
        <v>12</v>
      </c>
      <c r="G216" s="113">
        <v>2451.4299999999998</v>
      </c>
    </row>
    <row r="217" spans="2:7" ht="15" customHeight="1" thickBot="1" x14ac:dyDescent="0.25">
      <c r="B217" s="225">
        <v>6070525</v>
      </c>
      <c r="C217" s="115">
        <v>6070522</v>
      </c>
      <c r="D217" s="115" t="s">
        <v>246</v>
      </c>
      <c r="E217" s="147" t="s">
        <v>249</v>
      </c>
      <c r="F217" s="141">
        <v>12</v>
      </c>
      <c r="G217" s="113">
        <v>2451.4299999999998</v>
      </c>
    </row>
    <row r="218" spans="2:7" ht="15" customHeight="1" thickBot="1" x14ac:dyDescent="0.25">
      <c r="B218" s="231">
        <v>6068506</v>
      </c>
      <c r="C218" s="154">
        <v>6068506</v>
      </c>
      <c r="D218" s="115" t="s">
        <v>250</v>
      </c>
      <c r="E218" s="140" t="s">
        <v>207</v>
      </c>
      <c r="F218" s="141">
        <v>12</v>
      </c>
      <c r="G218" s="113">
        <v>2574</v>
      </c>
    </row>
    <row r="219" spans="2:7" ht="15" customHeight="1" thickBot="1" x14ac:dyDescent="0.25">
      <c r="B219" s="231">
        <v>6068506</v>
      </c>
      <c r="C219" s="115">
        <v>6068505</v>
      </c>
      <c r="D219" s="115" t="s">
        <v>250</v>
      </c>
      <c r="E219" s="140" t="s">
        <v>251</v>
      </c>
      <c r="F219" s="141">
        <v>12</v>
      </c>
      <c r="G219" s="113">
        <v>3309.42</v>
      </c>
    </row>
    <row r="220" spans="2:7" ht="15" customHeight="1" thickBot="1" x14ac:dyDescent="0.25">
      <c r="B220" s="231">
        <v>6068507</v>
      </c>
      <c r="C220" s="154">
        <v>6068507</v>
      </c>
      <c r="D220" s="154" t="s">
        <v>252</v>
      </c>
      <c r="E220" s="142" t="s">
        <v>207</v>
      </c>
      <c r="F220" s="141">
        <v>12</v>
      </c>
      <c r="G220" s="113">
        <v>2574</v>
      </c>
    </row>
    <row r="221" spans="2:7" ht="15" customHeight="1" thickBot="1" x14ac:dyDescent="0.25">
      <c r="B221" s="231">
        <v>6068507</v>
      </c>
      <c r="C221" s="154">
        <v>6068508</v>
      </c>
      <c r="D221" s="154" t="s">
        <v>252</v>
      </c>
      <c r="E221" s="142" t="s">
        <v>251</v>
      </c>
      <c r="F221" s="141">
        <v>12</v>
      </c>
      <c r="G221" s="113">
        <v>3309.42</v>
      </c>
    </row>
    <row r="222" spans="2:7" ht="15" customHeight="1" thickBot="1" x14ac:dyDescent="0.25">
      <c r="B222" s="231">
        <v>6068509</v>
      </c>
      <c r="C222" s="154">
        <v>6068509</v>
      </c>
      <c r="D222" s="154" t="s">
        <v>253</v>
      </c>
      <c r="E222" s="142" t="s">
        <v>207</v>
      </c>
      <c r="F222" s="141">
        <v>12</v>
      </c>
      <c r="G222" s="113">
        <v>2574</v>
      </c>
    </row>
    <row r="223" spans="2:7" ht="15" customHeight="1" thickBot="1" x14ac:dyDescent="0.25">
      <c r="B223" s="231">
        <v>6068509</v>
      </c>
      <c r="C223" s="154">
        <v>6068510</v>
      </c>
      <c r="D223" s="154" t="s">
        <v>253</v>
      </c>
      <c r="E223" s="142" t="s">
        <v>251</v>
      </c>
      <c r="F223" s="141">
        <v>12</v>
      </c>
      <c r="G223" s="113">
        <v>3309.42</v>
      </c>
    </row>
    <row r="224" spans="2:7" ht="15" customHeight="1" thickBot="1" x14ac:dyDescent="0.25">
      <c r="B224" s="231">
        <v>6068511</v>
      </c>
      <c r="C224" s="154">
        <v>6068511</v>
      </c>
      <c r="D224" s="154"/>
      <c r="E224" s="142" t="s">
        <v>335</v>
      </c>
      <c r="F224" s="141">
        <v>48</v>
      </c>
      <c r="G224" s="113">
        <v>1740.51</v>
      </c>
    </row>
    <row r="225" spans="2:7" ht="15" customHeight="1" thickBot="1" x14ac:dyDescent="0.25">
      <c r="B225" s="231">
        <v>6068513</v>
      </c>
      <c r="C225" s="154">
        <v>6068513</v>
      </c>
      <c r="D225" s="154" t="s">
        <v>254</v>
      </c>
      <c r="E225" s="142" t="s">
        <v>255</v>
      </c>
      <c r="F225" s="141">
        <v>120</v>
      </c>
      <c r="G225" s="113">
        <v>1470.86</v>
      </c>
    </row>
    <row r="226" spans="2:7" ht="15" customHeight="1" thickBot="1" x14ac:dyDescent="0.25">
      <c r="B226" s="231">
        <v>6068513</v>
      </c>
      <c r="C226" s="154">
        <v>6068512</v>
      </c>
      <c r="D226" s="154" t="s">
        <v>254</v>
      </c>
      <c r="E226" s="142" t="s">
        <v>256</v>
      </c>
      <c r="F226" s="141">
        <v>75</v>
      </c>
      <c r="G226" s="113">
        <v>2083.7199999999998</v>
      </c>
    </row>
    <row r="227" spans="2:7" ht="15" customHeight="1" thickBot="1" x14ac:dyDescent="0.25">
      <c r="B227" s="231">
        <v>6062005</v>
      </c>
      <c r="C227" s="154">
        <v>6062005</v>
      </c>
      <c r="D227" s="154"/>
      <c r="E227" s="140" t="s">
        <v>257</v>
      </c>
      <c r="F227" s="141">
        <v>10</v>
      </c>
      <c r="G227" s="113">
        <v>2574</v>
      </c>
    </row>
    <row r="228" spans="2:7" ht="15" customHeight="1" thickBot="1" x14ac:dyDescent="0.25">
      <c r="B228" s="228">
        <v>6062006</v>
      </c>
      <c r="C228" s="139">
        <v>6062006</v>
      </c>
      <c r="D228" s="139" t="s">
        <v>258</v>
      </c>
      <c r="E228" s="140" t="s">
        <v>99</v>
      </c>
      <c r="F228" s="141">
        <v>12</v>
      </c>
      <c r="G228" s="113">
        <v>3432</v>
      </c>
    </row>
    <row r="229" spans="2:7" ht="15" customHeight="1" thickBot="1" x14ac:dyDescent="0.25">
      <c r="B229" s="228">
        <v>6062006</v>
      </c>
      <c r="C229" s="139">
        <v>6062007</v>
      </c>
      <c r="D229" s="139" t="s">
        <v>258</v>
      </c>
      <c r="E229" s="142" t="s">
        <v>259</v>
      </c>
      <c r="F229" s="141">
        <v>12</v>
      </c>
      <c r="G229" s="113">
        <v>4657.72</v>
      </c>
    </row>
    <row r="230" spans="2:7" ht="15" customHeight="1" thickBot="1" x14ac:dyDescent="0.25">
      <c r="B230" s="227">
        <v>6062008</v>
      </c>
      <c r="C230" s="143">
        <v>6062008</v>
      </c>
      <c r="D230" s="143" t="s">
        <v>260</v>
      </c>
      <c r="E230" s="142" t="s">
        <v>261</v>
      </c>
      <c r="F230" s="141">
        <v>12</v>
      </c>
      <c r="G230" s="113">
        <v>3677.13</v>
      </c>
    </row>
    <row r="231" spans="2:7" ht="15" customHeight="1" thickBot="1" x14ac:dyDescent="0.25">
      <c r="B231" s="227">
        <v>6062008</v>
      </c>
      <c r="C231" s="141">
        <v>6062009</v>
      </c>
      <c r="D231" s="143" t="s">
        <v>260</v>
      </c>
      <c r="E231" s="142" t="s">
        <v>262</v>
      </c>
      <c r="F231" s="141">
        <v>12</v>
      </c>
      <c r="G231" s="113">
        <v>5246.05</v>
      </c>
    </row>
    <row r="232" spans="2:7" ht="15" customHeight="1" thickBot="1" x14ac:dyDescent="0.25">
      <c r="B232" s="228">
        <v>6062004</v>
      </c>
      <c r="C232" s="139">
        <v>6062004</v>
      </c>
      <c r="D232" s="139"/>
      <c r="E232" s="142" t="s">
        <v>263</v>
      </c>
      <c r="F232" s="141">
        <v>24</v>
      </c>
      <c r="G232" s="113">
        <v>2022.42</v>
      </c>
    </row>
    <row r="233" spans="2:7" ht="15" customHeight="1" thickBot="1" x14ac:dyDescent="0.25">
      <c r="B233" s="235">
        <v>6041001</v>
      </c>
      <c r="C233" s="155">
        <v>6041001</v>
      </c>
      <c r="D233" s="155"/>
      <c r="E233" s="142" t="s">
        <v>63</v>
      </c>
      <c r="F233" s="141">
        <v>60</v>
      </c>
      <c r="G233" s="113">
        <v>1409.56</v>
      </c>
    </row>
    <row r="234" spans="2:7" ht="15" customHeight="1" thickBot="1" x14ac:dyDescent="0.25">
      <c r="B234" s="236">
        <v>6041002</v>
      </c>
      <c r="C234" s="156">
        <v>6041002</v>
      </c>
      <c r="D234" s="156"/>
      <c r="E234" s="142" t="s">
        <v>336</v>
      </c>
      <c r="F234" s="141">
        <v>60</v>
      </c>
      <c r="G234" s="113">
        <v>3125.57</v>
      </c>
    </row>
    <row r="235" spans="2:7" ht="15" customHeight="1" thickBot="1" x14ac:dyDescent="0.25">
      <c r="B235" s="233">
        <v>6041005</v>
      </c>
      <c r="C235" s="116">
        <v>6041005</v>
      </c>
      <c r="D235" s="116"/>
      <c r="E235" s="142" t="s">
        <v>337</v>
      </c>
      <c r="F235" s="141">
        <v>60</v>
      </c>
      <c r="G235" s="113">
        <v>3186.85</v>
      </c>
    </row>
    <row r="236" spans="2:7" ht="15" customHeight="1" thickBot="1" x14ac:dyDescent="0.25">
      <c r="B236" s="233">
        <v>6041006</v>
      </c>
      <c r="C236" s="116">
        <v>6041006</v>
      </c>
      <c r="D236" s="116"/>
      <c r="E236" s="142" t="s">
        <v>64</v>
      </c>
      <c r="F236" s="141">
        <v>60</v>
      </c>
      <c r="G236" s="113">
        <v>4412.57</v>
      </c>
    </row>
    <row r="237" spans="2:7" ht="15" customHeight="1" thickBot="1" x14ac:dyDescent="0.25">
      <c r="B237" s="233">
        <v>6041004</v>
      </c>
      <c r="C237" s="116">
        <v>6041004</v>
      </c>
      <c r="D237" s="116"/>
      <c r="E237" s="142" t="s">
        <v>65</v>
      </c>
      <c r="F237" s="141">
        <v>60</v>
      </c>
      <c r="G237" s="113">
        <v>3186.85</v>
      </c>
    </row>
    <row r="238" spans="2:7" ht="15" customHeight="1" thickBot="1" x14ac:dyDescent="0.25">
      <c r="B238" s="233">
        <v>6041003</v>
      </c>
      <c r="C238" s="116">
        <v>6041003</v>
      </c>
      <c r="D238" s="116"/>
      <c r="E238" s="142" t="s">
        <v>66</v>
      </c>
      <c r="F238" s="141">
        <v>60</v>
      </c>
      <c r="G238" s="113">
        <v>4167.43</v>
      </c>
    </row>
    <row r="239" spans="2:7" ht="15" customHeight="1" thickBot="1" x14ac:dyDescent="0.25">
      <c r="B239" s="230">
        <v>6062001</v>
      </c>
      <c r="C239" s="157">
        <v>6062001</v>
      </c>
      <c r="D239" s="157"/>
      <c r="E239" s="140" t="s">
        <v>264</v>
      </c>
      <c r="F239" s="141">
        <v>36</v>
      </c>
      <c r="G239" s="113">
        <v>1740.51</v>
      </c>
    </row>
    <row r="240" spans="2:7" ht="15" customHeight="1" thickBot="1" x14ac:dyDescent="0.25">
      <c r="B240" s="225">
        <v>6062002</v>
      </c>
      <c r="C240" s="115">
        <v>6062002</v>
      </c>
      <c r="D240" s="115"/>
      <c r="E240" s="140" t="s">
        <v>265</v>
      </c>
      <c r="F240" s="141">
        <v>24</v>
      </c>
      <c r="G240" s="113">
        <v>1654.7</v>
      </c>
    </row>
    <row r="241" spans="2:7" ht="15" customHeight="1" thickBot="1" x14ac:dyDescent="0.25">
      <c r="B241" s="225">
        <v>6062010</v>
      </c>
      <c r="C241" s="115">
        <v>6062010</v>
      </c>
      <c r="D241" s="115" t="s">
        <v>266</v>
      </c>
      <c r="E241" s="142" t="s">
        <v>267</v>
      </c>
      <c r="F241" s="141">
        <v>120</v>
      </c>
      <c r="G241" s="113">
        <v>1164.43</v>
      </c>
    </row>
    <row r="242" spans="2:7" ht="15" customHeight="1" thickBot="1" x14ac:dyDescent="0.25">
      <c r="B242" s="225">
        <v>6062010</v>
      </c>
      <c r="C242" s="115">
        <v>6062011</v>
      </c>
      <c r="D242" s="115" t="s">
        <v>266</v>
      </c>
      <c r="E242" s="142" t="s">
        <v>268</v>
      </c>
      <c r="F242" s="141">
        <v>60</v>
      </c>
      <c r="G242" s="113">
        <v>2145</v>
      </c>
    </row>
    <row r="243" spans="2:7" ht="15" customHeight="1" thickBot="1" x14ac:dyDescent="0.25">
      <c r="B243" s="225">
        <v>6062003</v>
      </c>
      <c r="C243" s="115">
        <v>6062003</v>
      </c>
      <c r="D243" s="115"/>
      <c r="E243" s="140" t="s">
        <v>23</v>
      </c>
      <c r="F243" s="141">
        <v>24</v>
      </c>
      <c r="G243" s="113">
        <v>1740.51</v>
      </c>
    </row>
    <row r="244" spans="2:7" ht="15" customHeight="1" thickBot="1" x14ac:dyDescent="0.25">
      <c r="B244" s="225">
        <v>6069129</v>
      </c>
      <c r="C244" s="115">
        <v>6069129</v>
      </c>
      <c r="D244" s="115"/>
      <c r="E244" s="140" t="s">
        <v>338</v>
      </c>
      <c r="F244" s="141">
        <v>48</v>
      </c>
      <c r="G244" s="113">
        <v>1470.86</v>
      </c>
    </row>
    <row r="245" spans="2:7" ht="15" customHeight="1" thickBot="1" x14ac:dyDescent="0.25">
      <c r="B245" s="225">
        <v>6069127</v>
      </c>
      <c r="C245" s="115">
        <v>6069127</v>
      </c>
      <c r="D245" s="115"/>
      <c r="E245" s="140" t="s">
        <v>67</v>
      </c>
      <c r="F245" s="141">
        <v>24</v>
      </c>
      <c r="G245" s="113">
        <v>1470.86</v>
      </c>
    </row>
    <row r="246" spans="2:7" ht="15" customHeight="1" thickBot="1" x14ac:dyDescent="0.25">
      <c r="B246" s="225">
        <v>6069100</v>
      </c>
      <c r="C246" s="115">
        <v>6069100</v>
      </c>
      <c r="D246" s="115" t="s">
        <v>269</v>
      </c>
      <c r="E246" s="140" t="s">
        <v>270</v>
      </c>
      <c r="F246" s="141">
        <v>48</v>
      </c>
      <c r="G246" s="113">
        <v>1348.28</v>
      </c>
    </row>
    <row r="247" spans="2:7" ht="15" customHeight="1" thickBot="1" x14ac:dyDescent="0.25">
      <c r="B247" s="225">
        <v>6069100</v>
      </c>
      <c r="C247" s="115">
        <v>6069126</v>
      </c>
      <c r="D247" s="115" t="s">
        <v>269</v>
      </c>
      <c r="E247" s="140" t="s">
        <v>271</v>
      </c>
      <c r="F247" s="141">
        <v>42</v>
      </c>
      <c r="G247" s="113">
        <v>1593.43</v>
      </c>
    </row>
    <row r="248" spans="2:7" ht="15" customHeight="1" thickBot="1" x14ac:dyDescent="0.25">
      <c r="B248" s="225">
        <v>6069100</v>
      </c>
      <c r="C248" s="115">
        <v>6069150</v>
      </c>
      <c r="D248" s="115" t="s">
        <v>269</v>
      </c>
      <c r="E248" s="140" t="s">
        <v>272</v>
      </c>
      <c r="F248" s="141">
        <v>30</v>
      </c>
      <c r="G248" s="113">
        <v>1777.28</v>
      </c>
    </row>
    <row r="249" spans="2:7" ht="15" customHeight="1" thickTop="1" thickBot="1" x14ac:dyDescent="0.25">
      <c r="B249" s="226"/>
      <c r="C249" s="218" t="s">
        <v>24</v>
      </c>
      <c r="D249" s="219"/>
      <c r="E249" s="220"/>
      <c r="F249" s="158" t="s">
        <v>0</v>
      </c>
      <c r="G249" s="119" t="s">
        <v>1</v>
      </c>
    </row>
    <row r="250" spans="2:7" ht="15" customHeight="1" thickBot="1" x14ac:dyDescent="0.25">
      <c r="B250" s="225">
        <v>6060508</v>
      </c>
      <c r="C250" s="115">
        <v>6060508</v>
      </c>
      <c r="D250" s="115" t="s">
        <v>273</v>
      </c>
      <c r="E250" s="140" t="s">
        <v>274</v>
      </c>
      <c r="F250" s="141">
        <v>12</v>
      </c>
      <c r="G250" s="113">
        <v>2672.05</v>
      </c>
    </row>
    <row r="251" spans="2:7" ht="15" customHeight="1" thickBot="1" x14ac:dyDescent="0.25">
      <c r="B251" s="225">
        <v>6060508</v>
      </c>
      <c r="C251" s="115">
        <v>6060509</v>
      </c>
      <c r="D251" s="115" t="s">
        <v>273</v>
      </c>
      <c r="E251" s="140" t="s">
        <v>275</v>
      </c>
      <c r="F251" s="141">
        <v>12</v>
      </c>
      <c r="G251" s="113">
        <v>2672.05</v>
      </c>
    </row>
    <row r="252" spans="2:7" ht="15" customHeight="1" thickBot="1" x14ac:dyDescent="0.25">
      <c r="B252" s="225">
        <v>6060508</v>
      </c>
      <c r="C252" s="115">
        <v>6060510</v>
      </c>
      <c r="D252" s="115" t="s">
        <v>273</v>
      </c>
      <c r="E252" s="140" t="s">
        <v>276</v>
      </c>
      <c r="F252" s="141">
        <v>12</v>
      </c>
      <c r="G252" s="113">
        <v>2672.05</v>
      </c>
    </row>
    <row r="253" spans="2:7" ht="15" customHeight="1" thickBot="1" x14ac:dyDescent="0.25">
      <c r="B253" s="225">
        <v>6060418</v>
      </c>
      <c r="C253" s="115">
        <v>6060418</v>
      </c>
      <c r="D253" s="115" t="s">
        <v>277</v>
      </c>
      <c r="E253" s="142" t="s">
        <v>278</v>
      </c>
      <c r="F253" s="159">
        <v>12</v>
      </c>
      <c r="G253" s="113">
        <v>3897.77</v>
      </c>
    </row>
    <row r="254" spans="2:7" ht="15" customHeight="1" thickBot="1" x14ac:dyDescent="0.25">
      <c r="B254" s="225">
        <v>6060418</v>
      </c>
      <c r="C254" s="115">
        <v>6060419</v>
      </c>
      <c r="D254" s="115" t="s">
        <v>277</v>
      </c>
      <c r="E254" s="142" t="s">
        <v>212</v>
      </c>
      <c r="F254" s="159">
        <v>12</v>
      </c>
      <c r="G254" s="113">
        <v>3897.77</v>
      </c>
    </row>
    <row r="255" spans="2:7" ht="15" customHeight="1" thickBot="1" x14ac:dyDescent="0.25">
      <c r="B255" s="225">
        <v>6060415</v>
      </c>
      <c r="C255" s="115">
        <v>6060415</v>
      </c>
      <c r="D255" s="115" t="s">
        <v>279</v>
      </c>
      <c r="E255" s="140" t="s">
        <v>280</v>
      </c>
      <c r="F255" s="143">
        <v>12</v>
      </c>
      <c r="G255" s="113">
        <v>3800</v>
      </c>
    </row>
    <row r="256" spans="2:7" ht="15" customHeight="1" thickBot="1" x14ac:dyDescent="0.25">
      <c r="B256" s="225">
        <v>6060415</v>
      </c>
      <c r="C256" s="139">
        <v>6060416</v>
      </c>
      <c r="D256" s="115" t="s">
        <v>279</v>
      </c>
      <c r="E256" s="140" t="s">
        <v>281</v>
      </c>
      <c r="F256" s="160">
        <v>12</v>
      </c>
      <c r="G256" s="113">
        <v>3800</v>
      </c>
    </row>
    <row r="257" spans="2:7" ht="15" customHeight="1" thickBot="1" x14ac:dyDescent="0.25">
      <c r="B257" s="225">
        <v>6060415</v>
      </c>
      <c r="C257" s="161">
        <v>6060417</v>
      </c>
      <c r="D257" s="115" t="s">
        <v>279</v>
      </c>
      <c r="E257" s="149" t="s">
        <v>282</v>
      </c>
      <c r="F257" s="150">
        <v>12</v>
      </c>
      <c r="G257" s="113">
        <v>3800</v>
      </c>
    </row>
    <row r="258" spans="2:7" ht="15" customHeight="1" thickTop="1" thickBot="1" x14ac:dyDescent="0.25">
      <c r="B258" s="237"/>
      <c r="C258" s="197" t="s">
        <v>25</v>
      </c>
      <c r="D258" s="198"/>
      <c r="E258" s="198"/>
      <c r="F258" s="146" t="s">
        <v>0</v>
      </c>
      <c r="G258" s="162" t="s">
        <v>1</v>
      </c>
    </row>
    <row r="259" spans="2:7" ht="15" customHeight="1" thickTop="1" thickBot="1" x14ac:dyDescent="0.25">
      <c r="B259" s="238">
        <v>6000818</v>
      </c>
      <c r="C259" s="163">
        <v>6000818</v>
      </c>
      <c r="D259" s="163"/>
      <c r="E259" s="164" t="s">
        <v>68</v>
      </c>
      <c r="F259" s="143">
        <v>12</v>
      </c>
      <c r="G259" s="165">
        <v>6251.13</v>
      </c>
    </row>
    <row r="260" spans="2:7" ht="15" customHeight="1" thickBot="1" x14ac:dyDescent="0.25">
      <c r="B260" s="225">
        <v>6032323</v>
      </c>
      <c r="C260" s="115">
        <v>6032323</v>
      </c>
      <c r="D260" s="115" t="s">
        <v>283</v>
      </c>
      <c r="E260" s="140" t="s">
        <v>284</v>
      </c>
      <c r="F260" s="141">
        <v>12</v>
      </c>
      <c r="G260" s="113">
        <v>3922.28</v>
      </c>
    </row>
    <row r="261" spans="2:7" ht="15" customHeight="1" thickBot="1" x14ac:dyDescent="0.25">
      <c r="B261" s="225">
        <v>6032323</v>
      </c>
      <c r="C261" s="115">
        <v>6032324</v>
      </c>
      <c r="D261" s="115" t="s">
        <v>283</v>
      </c>
      <c r="E261" s="140" t="s">
        <v>285</v>
      </c>
      <c r="F261" s="141">
        <v>12</v>
      </c>
      <c r="G261" s="113">
        <v>3922.28</v>
      </c>
    </row>
    <row r="262" spans="2:7" ht="15" customHeight="1" thickBot="1" x14ac:dyDescent="0.25">
      <c r="B262" s="225">
        <v>6032323</v>
      </c>
      <c r="C262" s="115">
        <v>6032325</v>
      </c>
      <c r="D262" s="115" t="s">
        <v>283</v>
      </c>
      <c r="E262" s="140" t="s">
        <v>286</v>
      </c>
      <c r="F262" s="141">
        <v>12</v>
      </c>
      <c r="G262" s="113">
        <v>3922.28</v>
      </c>
    </row>
    <row r="263" spans="2:7" ht="15" customHeight="1" thickBot="1" x14ac:dyDescent="0.25">
      <c r="B263" s="232">
        <v>6032326</v>
      </c>
      <c r="C263" s="110">
        <v>6032326</v>
      </c>
      <c r="D263" s="110" t="s">
        <v>287</v>
      </c>
      <c r="E263" s="142" t="s">
        <v>288</v>
      </c>
      <c r="F263" s="141">
        <v>12</v>
      </c>
      <c r="G263" s="113">
        <v>4657.72</v>
      </c>
    </row>
    <row r="264" spans="2:7" ht="15" customHeight="1" thickBot="1" x14ac:dyDescent="0.25">
      <c r="B264" s="232">
        <v>6032326</v>
      </c>
      <c r="C264" s="110">
        <v>6032327</v>
      </c>
      <c r="D264" s="110" t="s">
        <v>287</v>
      </c>
      <c r="E264" s="142" t="s">
        <v>289</v>
      </c>
      <c r="F264" s="141">
        <v>12</v>
      </c>
      <c r="G264" s="113">
        <v>4657.72</v>
      </c>
    </row>
    <row r="265" spans="2:7" ht="15" customHeight="1" thickBot="1" x14ac:dyDescent="0.25">
      <c r="B265" s="232">
        <v>6080064</v>
      </c>
      <c r="C265" s="166">
        <v>6080064</v>
      </c>
      <c r="D265" s="166" t="s">
        <v>290</v>
      </c>
      <c r="E265" s="121" t="s">
        <v>291</v>
      </c>
      <c r="F265" s="167">
        <v>24</v>
      </c>
      <c r="G265" s="123">
        <v>1287</v>
      </c>
    </row>
    <row r="266" spans="2:7" ht="15" customHeight="1" thickBot="1" x14ac:dyDescent="0.25">
      <c r="B266" s="232">
        <v>6080064</v>
      </c>
      <c r="C266" s="166">
        <v>6080066</v>
      </c>
      <c r="D266" s="166" t="s">
        <v>290</v>
      </c>
      <c r="E266" s="121" t="s">
        <v>292</v>
      </c>
      <c r="F266" s="167">
        <v>24</v>
      </c>
      <c r="G266" s="123">
        <v>1287</v>
      </c>
    </row>
    <row r="267" spans="2:7" ht="15" customHeight="1" thickTop="1" thickBot="1" x14ac:dyDescent="0.25">
      <c r="B267" s="226"/>
      <c r="C267" s="203" t="s">
        <v>26</v>
      </c>
      <c r="D267" s="204"/>
      <c r="E267" s="221"/>
      <c r="F267" s="118" t="s">
        <v>0</v>
      </c>
      <c r="G267" s="119" t="s">
        <v>1</v>
      </c>
    </row>
    <row r="268" spans="2:7" ht="15" customHeight="1" thickTop="1" thickBot="1" x14ac:dyDescent="0.25">
      <c r="B268" s="232">
        <v>6010251</v>
      </c>
      <c r="C268" s="110">
        <v>6010251</v>
      </c>
      <c r="D268" s="110" t="s">
        <v>293</v>
      </c>
      <c r="E268" s="147" t="s">
        <v>294</v>
      </c>
      <c r="F268" s="141">
        <v>16</v>
      </c>
      <c r="G268" s="113">
        <v>2550</v>
      </c>
    </row>
    <row r="269" spans="2:7" ht="15" customHeight="1" thickBot="1" x14ac:dyDescent="0.25">
      <c r="B269" s="232">
        <v>6010251</v>
      </c>
      <c r="C269" s="115">
        <v>6010253</v>
      </c>
      <c r="D269" s="110" t="s">
        <v>293</v>
      </c>
      <c r="E269" s="140" t="s">
        <v>295</v>
      </c>
      <c r="F269" s="141">
        <v>16</v>
      </c>
      <c r="G269" s="113">
        <v>2550</v>
      </c>
    </row>
    <row r="270" spans="2:7" ht="15" customHeight="1" thickBot="1" x14ac:dyDescent="0.25">
      <c r="B270" s="232">
        <v>6010251</v>
      </c>
      <c r="C270" s="115">
        <v>6010451</v>
      </c>
      <c r="D270" s="110" t="s">
        <v>293</v>
      </c>
      <c r="E270" s="147" t="s">
        <v>296</v>
      </c>
      <c r="F270" s="141">
        <v>8</v>
      </c>
      <c r="G270" s="113">
        <v>3848.75</v>
      </c>
    </row>
    <row r="271" spans="2:7" ht="15" customHeight="1" thickBot="1" x14ac:dyDescent="0.25">
      <c r="B271" s="232">
        <v>6010251</v>
      </c>
      <c r="C271" s="115">
        <v>6010453</v>
      </c>
      <c r="D271" s="110" t="s">
        <v>293</v>
      </c>
      <c r="E271" s="140" t="s">
        <v>297</v>
      </c>
      <c r="F271" s="141">
        <v>8</v>
      </c>
      <c r="G271" s="113">
        <v>3848.75</v>
      </c>
    </row>
    <row r="272" spans="2:7" ht="15" customHeight="1" thickBot="1" x14ac:dyDescent="0.25">
      <c r="B272" s="225">
        <v>6010455</v>
      </c>
      <c r="C272" s="115">
        <v>6010455</v>
      </c>
      <c r="D272" s="115" t="s">
        <v>298</v>
      </c>
      <c r="E272" s="147" t="s">
        <v>294</v>
      </c>
      <c r="F272" s="141">
        <v>8</v>
      </c>
      <c r="G272" s="113">
        <v>2917.2</v>
      </c>
    </row>
    <row r="273" spans="2:7" ht="15" customHeight="1" thickBot="1" x14ac:dyDescent="0.25">
      <c r="B273" s="225">
        <v>6010455</v>
      </c>
      <c r="C273" s="115">
        <v>6010457</v>
      </c>
      <c r="D273" s="115" t="s">
        <v>298</v>
      </c>
      <c r="E273" s="140" t="s">
        <v>295</v>
      </c>
      <c r="F273" s="141">
        <v>8</v>
      </c>
      <c r="G273" s="113">
        <v>2917.2</v>
      </c>
    </row>
    <row r="274" spans="2:7" ht="15" customHeight="1" thickTop="1" thickBot="1" x14ac:dyDescent="0.25">
      <c r="B274" s="239"/>
      <c r="C274" s="203" t="s">
        <v>47</v>
      </c>
      <c r="D274" s="204"/>
      <c r="E274" s="221"/>
      <c r="F274" s="146" t="s">
        <v>0</v>
      </c>
      <c r="G274" s="119" t="s">
        <v>53</v>
      </c>
    </row>
    <row r="275" spans="2:7" ht="15" customHeight="1" thickTop="1" thickBot="1" x14ac:dyDescent="0.25">
      <c r="B275" s="232">
        <v>1020206</v>
      </c>
      <c r="C275" s="110">
        <v>1020206</v>
      </c>
      <c r="D275" s="110"/>
      <c r="E275" s="111" t="s">
        <v>43</v>
      </c>
      <c r="F275" s="112">
        <v>12</v>
      </c>
      <c r="G275" s="113">
        <v>2328.85</v>
      </c>
    </row>
    <row r="276" spans="2:7" ht="15" customHeight="1" thickBot="1" x14ac:dyDescent="0.25">
      <c r="B276" s="232">
        <v>1020203</v>
      </c>
      <c r="C276" s="110">
        <v>1020203</v>
      </c>
      <c r="D276" s="110"/>
      <c r="E276" s="111" t="s">
        <v>54</v>
      </c>
      <c r="F276" s="112">
        <v>15</v>
      </c>
      <c r="G276" s="113">
        <v>5209.28</v>
      </c>
    </row>
    <row r="277" spans="2:7" ht="15" customHeight="1" thickBot="1" x14ac:dyDescent="0.25">
      <c r="B277" s="232">
        <v>1020212</v>
      </c>
      <c r="C277" s="110">
        <v>1020212</v>
      </c>
      <c r="D277" s="110" t="s">
        <v>299</v>
      </c>
      <c r="E277" s="142" t="s">
        <v>300</v>
      </c>
      <c r="F277" s="112">
        <v>16</v>
      </c>
      <c r="G277" s="113">
        <v>2328.85</v>
      </c>
    </row>
    <row r="278" spans="2:7" ht="15" customHeight="1" thickBot="1" x14ac:dyDescent="0.25">
      <c r="B278" s="232">
        <v>1020212</v>
      </c>
      <c r="C278" s="110">
        <v>1020208</v>
      </c>
      <c r="D278" s="110" t="s">
        <v>299</v>
      </c>
      <c r="E278" s="142" t="s">
        <v>301</v>
      </c>
      <c r="F278" s="112">
        <v>12</v>
      </c>
      <c r="G278" s="113">
        <v>2083.7199999999998</v>
      </c>
    </row>
    <row r="279" spans="2:7" ht="15" customHeight="1" thickBot="1" x14ac:dyDescent="0.25">
      <c r="B279" s="232">
        <v>1020210</v>
      </c>
      <c r="C279" s="110">
        <v>1020210</v>
      </c>
      <c r="D279" s="110"/>
      <c r="E279" s="142" t="s">
        <v>50</v>
      </c>
      <c r="F279" s="112">
        <v>12</v>
      </c>
      <c r="G279" s="113">
        <v>2892.68</v>
      </c>
    </row>
    <row r="280" spans="2:7" ht="15" customHeight="1" thickBot="1" x14ac:dyDescent="0.25">
      <c r="B280" s="232">
        <v>1020214</v>
      </c>
      <c r="C280" s="110">
        <v>1020214</v>
      </c>
      <c r="D280" s="110"/>
      <c r="E280" s="142" t="s">
        <v>51</v>
      </c>
      <c r="F280" s="112">
        <v>12</v>
      </c>
      <c r="G280" s="113">
        <v>3677.13</v>
      </c>
    </row>
    <row r="281" spans="2:7" ht="15" customHeight="1" thickBot="1" x14ac:dyDescent="0.25">
      <c r="B281" s="232">
        <v>1020202</v>
      </c>
      <c r="C281" s="110">
        <v>1020202</v>
      </c>
      <c r="D281" s="110"/>
      <c r="E281" s="142" t="s">
        <v>69</v>
      </c>
      <c r="F281" s="112">
        <v>12</v>
      </c>
      <c r="G281" s="113">
        <v>3162.33</v>
      </c>
    </row>
    <row r="282" spans="2:7" ht="15" customHeight="1" thickBot="1" x14ac:dyDescent="0.25">
      <c r="B282" s="232">
        <v>1020213</v>
      </c>
      <c r="C282" s="110">
        <v>1020213</v>
      </c>
      <c r="D282" s="110"/>
      <c r="E282" s="142" t="s">
        <v>70</v>
      </c>
      <c r="F282" s="112">
        <v>15</v>
      </c>
      <c r="G282" s="113">
        <v>2328.85</v>
      </c>
    </row>
    <row r="283" spans="2:7" ht="15" customHeight="1" thickBot="1" x14ac:dyDescent="0.25">
      <c r="B283" s="232">
        <v>1020209</v>
      </c>
      <c r="C283" s="110">
        <v>1020209</v>
      </c>
      <c r="D283" s="110"/>
      <c r="E283" s="142" t="s">
        <v>52</v>
      </c>
      <c r="F283" s="112">
        <v>12</v>
      </c>
      <c r="G283" s="113">
        <v>4388.05</v>
      </c>
    </row>
    <row r="284" spans="2:7" ht="15" customHeight="1" thickBot="1" x14ac:dyDescent="0.25">
      <c r="B284" s="232">
        <v>1020201</v>
      </c>
      <c r="C284" s="110">
        <v>1020201</v>
      </c>
      <c r="D284" s="110"/>
      <c r="E284" s="142" t="s">
        <v>45</v>
      </c>
      <c r="F284" s="112">
        <v>12</v>
      </c>
      <c r="G284" s="113">
        <v>2904.93</v>
      </c>
    </row>
    <row r="285" spans="2:7" ht="15" customHeight="1" thickBot="1" x14ac:dyDescent="0.25">
      <c r="B285" s="239"/>
      <c r="C285" s="222" t="s">
        <v>46</v>
      </c>
      <c r="D285" s="223"/>
      <c r="E285" s="224"/>
      <c r="F285" s="168" t="s">
        <v>0</v>
      </c>
      <c r="G285" s="169" t="s">
        <v>1</v>
      </c>
    </row>
    <row r="286" spans="2:7" ht="15" customHeight="1" thickBot="1" x14ac:dyDescent="0.25">
      <c r="B286" s="230">
        <v>1010694</v>
      </c>
      <c r="C286" s="157">
        <v>1010694</v>
      </c>
      <c r="D286" s="157" t="s">
        <v>302</v>
      </c>
      <c r="E286" s="142" t="s">
        <v>303</v>
      </c>
      <c r="F286" s="112">
        <v>12</v>
      </c>
      <c r="G286" s="113">
        <v>1350</v>
      </c>
    </row>
    <row r="287" spans="2:7" ht="15" customHeight="1" thickBot="1" x14ac:dyDescent="0.25">
      <c r="B287" s="230">
        <v>1010694</v>
      </c>
      <c r="C287" s="114">
        <v>1010695</v>
      </c>
      <c r="D287" s="157" t="s">
        <v>302</v>
      </c>
      <c r="E287" s="142" t="s">
        <v>304</v>
      </c>
      <c r="F287" s="112">
        <v>12</v>
      </c>
      <c r="G287" s="113">
        <v>1350</v>
      </c>
    </row>
    <row r="288" spans="2:7" ht="15" customHeight="1" thickBot="1" x14ac:dyDescent="0.25">
      <c r="B288" s="230">
        <v>1010694</v>
      </c>
      <c r="C288" s="139">
        <v>1010696</v>
      </c>
      <c r="D288" s="157" t="s">
        <v>302</v>
      </c>
      <c r="E288" s="142" t="s">
        <v>305</v>
      </c>
      <c r="F288" s="112">
        <v>12</v>
      </c>
      <c r="G288" s="113">
        <v>1350</v>
      </c>
    </row>
    <row r="289" spans="2:7" ht="15" customHeight="1" thickBot="1" x14ac:dyDescent="0.25">
      <c r="B289" s="230">
        <v>1010694</v>
      </c>
      <c r="C289" s="114">
        <v>1010697</v>
      </c>
      <c r="D289" s="157" t="s">
        <v>302</v>
      </c>
      <c r="E289" s="142" t="s">
        <v>306</v>
      </c>
      <c r="F289" s="112">
        <v>12</v>
      </c>
      <c r="G289" s="113">
        <v>1350</v>
      </c>
    </row>
    <row r="290" spans="2:7" ht="15" customHeight="1" thickBot="1" x14ac:dyDescent="0.25">
      <c r="B290" s="232">
        <v>1010156</v>
      </c>
      <c r="C290" s="110">
        <v>1010156</v>
      </c>
      <c r="D290" s="110" t="s">
        <v>307</v>
      </c>
      <c r="E290" s="142" t="s">
        <v>308</v>
      </c>
      <c r="F290" s="112">
        <v>20</v>
      </c>
      <c r="G290" s="113">
        <v>1544.4</v>
      </c>
    </row>
    <row r="291" spans="2:7" ht="15" customHeight="1" thickBot="1" x14ac:dyDescent="0.25">
      <c r="B291" s="232">
        <v>1010156</v>
      </c>
      <c r="C291" s="110">
        <v>1010131</v>
      </c>
      <c r="D291" s="110" t="s">
        <v>307</v>
      </c>
      <c r="E291" s="142" t="s">
        <v>309</v>
      </c>
      <c r="F291" s="112">
        <v>12</v>
      </c>
      <c r="G291" s="113">
        <v>2819.15</v>
      </c>
    </row>
    <row r="292" spans="2:7" ht="15" customHeight="1" thickBot="1" x14ac:dyDescent="0.25">
      <c r="B292" s="232">
        <v>1010153</v>
      </c>
      <c r="C292" s="110">
        <v>1010153</v>
      </c>
      <c r="D292" s="110" t="s">
        <v>310</v>
      </c>
      <c r="E292" s="142" t="s">
        <v>308</v>
      </c>
      <c r="F292" s="112">
        <v>20</v>
      </c>
      <c r="G292" s="113">
        <v>1323.77</v>
      </c>
    </row>
    <row r="293" spans="2:7" ht="15" customHeight="1" thickBot="1" x14ac:dyDescent="0.25">
      <c r="B293" s="232">
        <v>1010153</v>
      </c>
      <c r="C293" s="170">
        <v>1010688</v>
      </c>
      <c r="D293" s="110" t="s">
        <v>310</v>
      </c>
      <c r="E293" s="171" t="s">
        <v>311</v>
      </c>
      <c r="F293" s="172">
        <v>12</v>
      </c>
      <c r="G293" s="113">
        <v>2022.42</v>
      </c>
    </row>
    <row r="294" spans="2:7" ht="15" customHeight="1" thickBot="1" x14ac:dyDescent="0.25">
      <c r="B294" s="232">
        <v>1010153</v>
      </c>
      <c r="C294" s="110">
        <v>1010201</v>
      </c>
      <c r="D294" s="110" t="s">
        <v>310</v>
      </c>
      <c r="E294" s="142" t="s">
        <v>309</v>
      </c>
      <c r="F294" s="112">
        <v>12</v>
      </c>
      <c r="G294" s="113">
        <v>2304.35</v>
      </c>
    </row>
    <row r="295" spans="2:7" ht="15" customHeight="1" thickBot="1" x14ac:dyDescent="0.25">
      <c r="B295" s="232">
        <v>1010692</v>
      </c>
      <c r="C295" s="110">
        <v>1010692</v>
      </c>
      <c r="D295" s="110"/>
      <c r="E295" s="142" t="s">
        <v>71</v>
      </c>
      <c r="F295" s="112">
        <v>12</v>
      </c>
      <c r="G295" s="113">
        <v>2059.1999999999998</v>
      </c>
    </row>
    <row r="296" spans="2:7" ht="15" customHeight="1" thickBot="1" x14ac:dyDescent="0.25">
      <c r="B296" s="232">
        <v>1010691</v>
      </c>
      <c r="C296" s="110">
        <v>1010691</v>
      </c>
      <c r="D296" s="110"/>
      <c r="E296" s="142" t="s">
        <v>339</v>
      </c>
      <c r="F296" s="112">
        <v>12</v>
      </c>
      <c r="G296" s="113">
        <v>2083.7199999999998</v>
      </c>
    </row>
    <row r="297" spans="2:7" ht="15" customHeight="1" thickBot="1" x14ac:dyDescent="0.25">
      <c r="B297" s="228">
        <v>1010689</v>
      </c>
      <c r="C297" s="170">
        <v>1010689</v>
      </c>
      <c r="D297" s="170" t="s">
        <v>312</v>
      </c>
      <c r="E297" s="171" t="s">
        <v>311</v>
      </c>
      <c r="F297" s="172">
        <v>12</v>
      </c>
      <c r="G297" s="113">
        <v>2022.42</v>
      </c>
    </row>
    <row r="298" spans="2:7" ht="15" customHeight="1" thickBot="1" x14ac:dyDescent="0.25">
      <c r="B298" s="228">
        <v>1010689</v>
      </c>
      <c r="C298" s="110">
        <v>1010155</v>
      </c>
      <c r="D298" s="170" t="s">
        <v>312</v>
      </c>
      <c r="E298" s="142" t="s">
        <v>308</v>
      </c>
      <c r="F298" s="112">
        <v>20</v>
      </c>
      <c r="G298" s="113">
        <v>1298.7</v>
      </c>
    </row>
    <row r="299" spans="2:7" ht="15" customHeight="1" thickBot="1" x14ac:dyDescent="0.25">
      <c r="B299" s="228">
        <v>1010689</v>
      </c>
      <c r="C299" s="110">
        <v>1010690</v>
      </c>
      <c r="D299" s="170" t="s">
        <v>312</v>
      </c>
      <c r="E299" s="142" t="s">
        <v>309</v>
      </c>
      <c r="F299" s="112">
        <v>12</v>
      </c>
      <c r="G299" s="113">
        <v>2304.35</v>
      </c>
    </row>
    <row r="300" spans="2:7" ht="15" customHeight="1" thickBot="1" x14ac:dyDescent="0.25">
      <c r="B300" s="232">
        <v>1010154</v>
      </c>
      <c r="C300" s="110">
        <v>1010154</v>
      </c>
      <c r="D300" s="110" t="s">
        <v>313</v>
      </c>
      <c r="E300" s="142" t="s">
        <v>308</v>
      </c>
      <c r="F300" s="112">
        <v>20</v>
      </c>
      <c r="G300" s="113">
        <v>1127.6500000000001</v>
      </c>
    </row>
    <row r="301" spans="2:7" ht="15" customHeight="1" thickBot="1" x14ac:dyDescent="0.25">
      <c r="B301" s="232">
        <v>1010154</v>
      </c>
      <c r="C301" s="173">
        <v>1010687</v>
      </c>
      <c r="D301" s="110" t="s">
        <v>313</v>
      </c>
      <c r="E301" s="171" t="s">
        <v>311</v>
      </c>
      <c r="F301" s="172">
        <v>12</v>
      </c>
      <c r="G301" s="113">
        <v>1740.51</v>
      </c>
    </row>
    <row r="302" spans="2:7" ht="15" customHeight="1" thickBot="1" x14ac:dyDescent="0.25">
      <c r="B302" s="232">
        <v>1010154</v>
      </c>
      <c r="C302" s="110">
        <v>1010151</v>
      </c>
      <c r="D302" s="110" t="s">
        <v>313</v>
      </c>
      <c r="E302" s="142" t="s">
        <v>309</v>
      </c>
      <c r="F302" s="112">
        <v>12</v>
      </c>
      <c r="G302" s="113">
        <v>2206.29</v>
      </c>
    </row>
    <row r="303" spans="2:7" ht="15" customHeight="1" thickTop="1" thickBot="1" x14ac:dyDescent="0.25">
      <c r="B303" s="240"/>
      <c r="C303" s="219" t="s">
        <v>49</v>
      </c>
      <c r="D303" s="219"/>
      <c r="E303" s="220"/>
      <c r="F303" s="174" t="s">
        <v>0</v>
      </c>
      <c r="G303" s="175" t="s">
        <v>1</v>
      </c>
    </row>
    <row r="304" spans="2:7" ht="15" customHeight="1" thickBot="1" x14ac:dyDescent="0.25">
      <c r="B304" s="234">
        <v>3032001</v>
      </c>
      <c r="C304" s="148">
        <v>3032001</v>
      </c>
      <c r="D304" s="148"/>
      <c r="E304" s="176" t="s">
        <v>72</v>
      </c>
      <c r="F304" s="141">
        <v>12</v>
      </c>
      <c r="G304" s="159">
        <v>5148</v>
      </c>
    </row>
    <row r="305" spans="2:7" ht="15" customHeight="1" thickBot="1" x14ac:dyDescent="0.25">
      <c r="B305" s="233">
        <v>3040004</v>
      </c>
      <c r="C305" s="116">
        <v>3040004</v>
      </c>
      <c r="D305" s="116"/>
      <c r="E305" s="142" t="s">
        <v>340</v>
      </c>
      <c r="F305" s="141">
        <v>6</v>
      </c>
      <c r="G305" s="113">
        <v>9903.76</v>
      </c>
    </row>
    <row r="306" spans="2:7" ht="15" customHeight="1" thickBot="1" x14ac:dyDescent="0.25">
      <c r="B306" s="233">
        <v>3040005</v>
      </c>
      <c r="C306" s="116">
        <v>3040005</v>
      </c>
      <c r="D306" s="116"/>
      <c r="E306" s="142" t="s">
        <v>341</v>
      </c>
      <c r="F306" s="141">
        <v>6</v>
      </c>
      <c r="G306" s="113">
        <v>9903.76</v>
      </c>
    </row>
    <row r="307" spans="2:7" ht="15" customHeight="1" thickBot="1" x14ac:dyDescent="0.25">
      <c r="B307" s="233">
        <v>3000001</v>
      </c>
      <c r="C307" s="116">
        <v>3000001</v>
      </c>
      <c r="D307" s="116"/>
      <c r="E307" s="140" t="s">
        <v>342</v>
      </c>
      <c r="F307" s="159">
        <v>12</v>
      </c>
      <c r="G307" s="160">
        <v>8138.74</v>
      </c>
    </row>
    <row r="308" spans="2:7" ht="15" customHeight="1" thickBot="1" x14ac:dyDescent="0.25">
      <c r="B308" s="233">
        <v>3040002</v>
      </c>
      <c r="C308" s="116">
        <v>3040002</v>
      </c>
      <c r="D308" s="116"/>
      <c r="E308" s="142" t="s">
        <v>73</v>
      </c>
      <c r="F308" s="141">
        <v>6</v>
      </c>
      <c r="G308" s="150">
        <v>11644.28</v>
      </c>
    </row>
    <row r="309" spans="2:7" ht="15" customHeight="1" thickBot="1" x14ac:dyDescent="0.25">
      <c r="B309" s="233">
        <v>3040003</v>
      </c>
      <c r="C309" s="116">
        <v>3040003</v>
      </c>
      <c r="D309" s="116"/>
      <c r="E309" s="142" t="s">
        <v>74</v>
      </c>
      <c r="F309" s="141">
        <v>6</v>
      </c>
      <c r="G309" s="113">
        <v>11644.28</v>
      </c>
    </row>
    <row r="310" spans="2:7" ht="15" customHeight="1" thickBot="1" x14ac:dyDescent="0.25">
      <c r="B310" s="241">
        <v>3040001</v>
      </c>
      <c r="C310" s="177">
        <v>3040001</v>
      </c>
      <c r="D310" s="177"/>
      <c r="E310" s="140" t="s">
        <v>343</v>
      </c>
      <c r="F310" s="143">
        <v>12</v>
      </c>
      <c r="G310" s="150">
        <v>5760.85</v>
      </c>
    </row>
    <row r="311" spans="2:7" ht="15" customHeight="1" thickTop="1" thickBot="1" x14ac:dyDescent="0.25">
      <c r="B311" s="242"/>
      <c r="C311" s="219" t="s">
        <v>48</v>
      </c>
      <c r="D311" s="219"/>
      <c r="E311" s="219"/>
      <c r="F311" s="178" t="s">
        <v>0</v>
      </c>
      <c r="G311" s="179" t="s">
        <v>1</v>
      </c>
    </row>
    <row r="312" spans="2:7" ht="15" customHeight="1" thickBot="1" x14ac:dyDescent="0.25">
      <c r="B312" s="243">
        <v>3140001</v>
      </c>
      <c r="C312" s="180">
        <v>3140001</v>
      </c>
      <c r="D312" s="180"/>
      <c r="E312" s="181" t="s">
        <v>344</v>
      </c>
      <c r="F312" s="150">
        <v>12</v>
      </c>
      <c r="G312" s="182">
        <v>5760.85</v>
      </c>
    </row>
    <row r="313" spans="2:7" ht="15" customHeight="1" thickTop="1" thickBot="1" x14ac:dyDescent="0.25">
      <c r="B313" s="226"/>
      <c r="C313" s="203" t="s">
        <v>27</v>
      </c>
      <c r="D313" s="204"/>
      <c r="E313" s="204"/>
      <c r="F313" s="146" t="s">
        <v>0</v>
      </c>
      <c r="G313" s="119" t="s">
        <v>1</v>
      </c>
    </row>
    <row r="314" spans="2:7" ht="15" customHeight="1" thickTop="1" thickBot="1" x14ac:dyDescent="0.25">
      <c r="B314" s="232">
        <v>3832121</v>
      </c>
      <c r="C314" s="110">
        <v>3832121</v>
      </c>
      <c r="D314" s="147" t="s">
        <v>314</v>
      </c>
      <c r="E314" s="147" t="s">
        <v>315</v>
      </c>
      <c r="F314" s="141">
        <v>12</v>
      </c>
      <c r="G314" s="113">
        <v>5148</v>
      </c>
    </row>
    <row r="315" spans="2:7" ht="15" customHeight="1" thickBot="1" x14ac:dyDescent="0.25">
      <c r="B315" s="232">
        <v>3832121</v>
      </c>
      <c r="C315" s="115">
        <v>3832122</v>
      </c>
      <c r="D315" s="147" t="s">
        <v>314</v>
      </c>
      <c r="E315" s="149" t="s">
        <v>316</v>
      </c>
      <c r="F315" s="141">
        <v>12</v>
      </c>
      <c r="G315" s="113">
        <v>5148</v>
      </c>
    </row>
    <row r="316" spans="2:7" ht="15" customHeight="1" thickBot="1" x14ac:dyDescent="0.25">
      <c r="B316" s="225">
        <v>3840364</v>
      </c>
      <c r="C316" s="115">
        <v>3840364</v>
      </c>
      <c r="D316" s="115"/>
      <c r="E316" s="142" t="s">
        <v>345</v>
      </c>
      <c r="F316" s="141">
        <v>12</v>
      </c>
      <c r="G316" s="113">
        <v>5760.85</v>
      </c>
    </row>
    <row r="317" spans="2:7" ht="15" customHeight="1" thickBot="1" x14ac:dyDescent="0.25">
      <c r="B317" s="225">
        <v>3800001</v>
      </c>
      <c r="C317" s="115">
        <v>3800001</v>
      </c>
      <c r="D317" s="115"/>
      <c r="E317" s="140" t="s">
        <v>28</v>
      </c>
      <c r="F317" s="183">
        <v>12</v>
      </c>
      <c r="G317" s="113">
        <v>8138.74</v>
      </c>
    </row>
    <row r="318" spans="2:7" ht="15" customHeight="1" thickTop="1" thickBot="1" x14ac:dyDescent="0.25">
      <c r="B318" s="226"/>
      <c r="C318" s="222" t="s">
        <v>29</v>
      </c>
      <c r="D318" s="223"/>
      <c r="E318" s="224"/>
      <c r="F318" s="118" t="s">
        <v>0</v>
      </c>
      <c r="G318" s="119" t="s">
        <v>1</v>
      </c>
    </row>
    <row r="319" spans="2:7" ht="15" customHeight="1" thickTop="1" thickBot="1" x14ac:dyDescent="0.25">
      <c r="B319" s="232">
        <v>4032130</v>
      </c>
      <c r="C319" s="110">
        <v>4032130</v>
      </c>
      <c r="D319" s="110"/>
      <c r="E319" s="147" t="s">
        <v>30</v>
      </c>
      <c r="F319" s="184">
        <v>12</v>
      </c>
      <c r="G319" s="113">
        <v>5148</v>
      </c>
    </row>
    <row r="320" spans="2:7" ht="15" customHeight="1" thickBot="1" x14ac:dyDescent="0.25">
      <c r="B320" s="233">
        <v>4000001</v>
      </c>
      <c r="C320" s="116">
        <v>4000001</v>
      </c>
      <c r="D320" s="116"/>
      <c r="E320" s="140" t="s">
        <v>31</v>
      </c>
      <c r="F320" s="143">
        <v>12</v>
      </c>
      <c r="G320" s="113">
        <v>8138.74</v>
      </c>
    </row>
    <row r="321" spans="2:7" ht="15" customHeight="1" thickTop="1" thickBot="1" x14ac:dyDescent="0.25">
      <c r="B321" s="239"/>
      <c r="C321" s="200" t="s">
        <v>32</v>
      </c>
      <c r="D321" s="201"/>
      <c r="E321" s="201"/>
      <c r="F321" s="146" t="s">
        <v>0</v>
      </c>
      <c r="G321" s="119" t="s">
        <v>1</v>
      </c>
    </row>
    <row r="322" spans="2:7" ht="15" customHeight="1" thickBot="1" x14ac:dyDescent="0.25">
      <c r="B322" s="225">
        <v>4032122</v>
      </c>
      <c r="C322" s="115">
        <v>4032122</v>
      </c>
      <c r="D322" s="115"/>
      <c r="E322" s="140" t="s">
        <v>39</v>
      </c>
      <c r="F322" s="141">
        <v>12</v>
      </c>
      <c r="G322" s="113">
        <v>5148</v>
      </c>
    </row>
    <row r="323" spans="2:7" ht="15" customHeight="1" thickBot="1" x14ac:dyDescent="0.25">
      <c r="B323" s="225">
        <v>4040018</v>
      </c>
      <c r="C323" s="115">
        <v>4040018</v>
      </c>
      <c r="D323" s="115"/>
      <c r="E323" s="142" t="s">
        <v>75</v>
      </c>
      <c r="F323" s="141">
        <v>12</v>
      </c>
      <c r="G323" s="113">
        <v>5760.85</v>
      </c>
    </row>
    <row r="324" spans="2:7" ht="15" customHeight="1" thickBot="1" x14ac:dyDescent="0.25">
      <c r="B324" s="225">
        <v>3340363</v>
      </c>
      <c r="C324" s="115">
        <v>3340363</v>
      </c>
      <c r="D324" s="115"/>
      <c r="E324" s="140" t="s">
        <v>346</v>
      </c>
      <c r="F324" s="141">
        <v>6</v>
      </c>
      <c r="G324" s="113">
        <v>10296</v>
      </c>
    </row>
    <row r="325" spans="2:7" ht="15" customHeight="1" thickTop="1" thickBot="1" x14ac:dyDescent="0.25">
      <c r="B325" s="226"/>
      <c r="C325" s="200" t="s">
        <v>33</v>
      </c>
      <c r="D325" s="201"/>
      <c r="E325" s="201"/>
      <c r="F325" s="146" t="s">
        <v>0</v>
      </c>
      <c r="G325" s="119" t="s">
        <v>1</v>
      </c>
    </row>
    <row r="326" spans="2:7" ht="15" customHeight="1" thickBot="1" x14ac:dyDescent="0.25">
      <c r="B326" s="225">
        <v>4232003</v>
      </c>
      <c r="C326" s="115">
        <v>4232003</v>
      </c>
      <c r="D326" s="115" t="s">
        <v>317</v>
      </c>
      <c r="E326" s="140" t="s">
        <v>318</v>
      </c>
      <c r="F326" s="141">
        <v>12</v>
      </c>
      <c r="G326" s="113">
        <v>5148</v>
      </c>
    </row>
    <row r="327" spans="2:7" ht="15" customHeight="1" thickBot="1" x14ac:dyDescent="0.25">
      <c r="B327" s="225">
        <v>4232003</v>
      </c>
      <c r="C327" s="115">
        <v>4232001</v>
      </c>
      <c r="D327" s="115" t="s">
        <v>317</v>
      </c>
      <c r="E327" s="140" t="s">
        <v>319</v>
      </c>
      <c r="F327" s="141">
        <v>12</v>
      </c>
      <c r="G327" s="113">
        <v>5148</v>
      </c>
    </row>
    <row r="328" spans="2:7" ht="15" customHeight="1" thickBot="1" x14ac:dyDescent="0.25">
      <c r="B328" s="225">
        <v>4232003</v>
      </c>
      <c r="C328" s="115">
        <v>4232002</v>
      </c>
      <c r="D328" s="115" t="s">
        <v>317</v>
      </c>
      <c r="E328" s="140" t="s">
        <v>320</v>
      </c>
      <c r="F328" s="141">
        <v>12</v>
      </c>
      <c r="G328" s="113">
        <v>5148</v>
      </c>
    </row>
    <row r="329" spans="2:7" ht="15" customHeight="1" thickBot="1" x14ac:dyDescent="0.25">
      <c r="B329" s="225">
        <v>4243401</v>
      </c>
      <c r="C329" s="115">
        <v>4243401</v>
      </c>
      <c r="D329" s="115"/>
      <c r="E329" s="142" t="s">
        <v>42</v>
      </c>
      <c r="F329" s="141">
        <v>12</v>
      </c>
      <c r="G329" s="185">
        <v>3493.3</v>
      </c>
    </row>
    <row r="330" spans="2:7" ht="15" customHeight="1" thickBot="1" x14ac:dyDescent="0.25">
      <c r="B330" s="225">
        <v>4240301</v>
      </c>
      <c r="C330" s="115">
        <v>4240301</v>
      </c>
      <c r="D330" s="115" t="s">
        <v>321</v>
      </c>
      <c r="E330" s="142" t="s">
        <v>34</v>
      </c>
      <c r="F330" s="141">
        <v>12</v>
      </c>
      <c r="G330" s="113">
        <v>5760.85</v>
      </c>
    </row>
    <row r="331" spans="2:7" ht="15" customHeight="1" thickBot="1" x14ac:dyDescent="0.25">
      <c r="B331" s="225">
        <v>4240301</v>
      </c>
      <c r="C331" s="115">
        <v>4240302</v>
      </c>
      <c r="D331" s="115" t="s">
        <v>321</v>
      </c>
      <c r="E331" s="142" t="s">
        <v>322</v>
      </c>
      <c r="F331" s="141">
        <v>12</v>
      </c>
      <c r="G331" s="113">
        <v>5760.85</v>
      </c>
    </row>
    <row r="332" spans="2:7" ht="15" customHeight="1" thickBot="1" x14ac:dyDescent="0.25">
      <c r="B332" s="225">
        <v>4232004</v>
      </c>
      <c r="C332" s="115">
        <v>4232004</v>
      </c>
      <c r="D332" s="115"/>
      <c r="E332" s="149" t="s">
        <v>35</v>
      </c>
      <c r="F332" s="141">
        <v>12</v>
      </c>
      <c r="G332" s="113">
        <v>5148</v>
      </c>
    </row>
    <row r="333" spans="2:7" ht="15" customHeight="1" thickBot="1" x14ac:dyDescent="0.25">
      <c r="B333" s="225">
        <v>4243007</v>
      </c>
      <c r="C333" s="115">
        <v>4243007</v>
      </c>
      <c r="D333" s="115"/>
      <c r="E333" s="142" t="s">
        <v>347</v>
      </c>
      <c r="F333" s="112">
        <v>10</v>
      </c>
      <c r="G333" s="185">
        <v>3493.29</v>
      </c>
    </row>
    <row r="334" spans="2:7" ht="15" customHeight="1" thickBot="1" x14ac:dyDescent="0.25">
      <c r="B334" s="225">
        <v>4200003</v>
      </c>
      <c r="C334" s="115">
        <v>4200003</v>
      </c>
      <c r="D334" s="115"/>
      <c r="E334" s="147" t="s">
        <v>76</v>
      </c>
      <c r="F334" s="112">
        <v>12</v>
      </c>
      <c r="G334" s="113">
        <v>8138.74</v>
      </c>
    </row>
    <row r="335" spans="2:7" ht="15" customHeight="1" thickTop="1" thickBot="1" x14ac:dyDescent="0.25">
      <c r="B335" s="244"/>
      <c r="C335" s="124"/>
      <c r="D335" s="124"/>
      <c r="E335" s="125"/>
      <c r="F335" s="146" t="s">
        <v>0</v>
      </c>
      <c r="G335" s="119" t="s">
        <v>1</v>
      </c>
    </row>
    <row r="336" spans="2:7" ht="15" customHeight="1" thickTop="1" thickBot="1" x14ac:dyDescent="0.25">
      <c r="B336" s="228">
        <v>5745001</v>
      </c>
      <c r="C336" s="139">
        <v>5745001</v>
      </c>
      <c r="D336" s="139" t="s">
        <v>323</v>
      </c>
      <c r="E336" s="147" t="s">
        <v>324</v>
      </c>
      <c r="F336" s="112">
        <v>11</v>
      </c>
      <c r="G336" s="113">
        <v>4081.62</v>
      </c>
    </row>
    <row r="337" spans="2:7" ht="15" customHeight="1" thickBot="1" x14ac:dyDescent="0.25">
      <c r="B337" s="228">
        <v>5743001</v>
      </c>
      <c r="C337" s="139">
        <v>5743001</v>
      </c>
      <c r="D337" s="139" t="s">
        <v>323</v>
      </c>
      <c r="E337" s="142" t="s">
        <v>325</v>
      </c>
      <c r="F337" s="112">
        <v>11</v>
      </c>
      <c r="G337" s="113">
        <v>4081.62</v>
      </c>
    </row>
    <row r="338" spans="2:7" ht="15" customHeight="1" thickTop="1" thickBot="1" x14ac:dyDescent="0.25">
      <c r="B338" s="240"/>
      <c r="C338" s="186"/>
      <c r="D338" s="186"/>
      <c r="E338" s="186"/>
      <c r="F338" s="146" t="s">
        <v>0</v>
      </c>
      <c r="G338" s="119" t="s">
        <v>1</v>
      </c>
    </row>
    <row r="339" spans="2:7" ht="15" customHeight="1" thickTop="1" thickBot="1" x14ac:dyDescent="0.25">
      <c r="B339" s="229">
        <v>5743001</v>
      </c>
      <c r="C339" s="187">
        <v>5743001</v>
      </c>
      <c r="D339" s="187" t="s">
        <v>326</v>
      </c>
      <c r="E339" s="140" t="s">
        <v>348</v>
      </c>
      <c r="F339" s="141">
        <v>6</v>
      </c>
      <c r="G339" s="113">
        <v>12870</v>
      </c>
    </row>
    <row r="340" spans="2:7" ht="15" customHeight="1" thickTop="1" thickBot="1" x14ac:dyDescent="0.25">
      <c r="B340" s="229">
        <v>5743001</v>
      </c>
      <c r="C340" s="139">
        <v>5745001</v>
      </c>
      <c r="D340" s="187" t="s">
        <v>326</v>
      </c>
      <c r="E340" s="142" t="s">
        <v>349</v>
      </c>
      <c r="F340" s="141">
        <v>6</v>
      </c>
      <c r="G340" s="113">
        <v>12870</v>
      </c>
    </row>
    <row r="341" spans="2:7" ht="15" customHeight="1" thickTop="1" thickBot="1" x14ac:dyDescent="0.25">
      <c r="B341" s="229">
        <v>5743001</v>
      </c>
      <c r="C341" s="139">
        <v>3462004</v>
      </c>
      <c r="D341" s="187" t="s">
        <v>326</v>
      </c>
      <c r="E341" s="142" t="s">
        <v>350</v>
      </c>
      <c r="F341" s="141">
        <v>6</v>
      </c>
      <c r="G341" s="113">
        <v>9683.14</v>
      </c>
    </row>
    <row r="342" spans="2:7" ht="15" customHeight="1" thickTop="1" thickBot="1" x14ac:dyDescent="0.25">
      <c r="B342" s="229">
        <v>5743001</v>
      </c>
      <c r="C342" s="115">
        <v>3462005</v>
      </c>
      <c r="D342" s="187" t="s">
        <v>326</v>
      </c>
      <c r="E342" s="142" t="s">
        <v>351</v>
      </c>
      <c r="F342" s="141">
        <v>6</v>
      </c>
      <c r="G342" s="113">
        <v>9683.14</v>
      </c>
    </row>
    <row r="343" spans="2:7" ht="15" customHeight="1" thickBot="1" x14ac:dyDescent="0.25">
      <c r="B343" s="228">
        <v>3440010</v>
      </c>
      <c r="C343" s="139">
        <v>3440010</v>
      </c>
      <c r="D343" s="139"/>
      <c r="E343" s="142" t="s">
        <v>77</v>
      </c>
      <c r="F343" s="141">
        <v>19</v>
      </c>
      <c r="G343" s="113">
        <v>3677.13</v>
      </c>
    </row>
  </sheetData>
  <sortState ref="B95:G107">
    <sortCondition descending="1" ref="E95:E107"/>
  </sortState>
  <mergeCells count="26">
    <mergeCell ref="C321:E321"/>
    <mergeCell ref="C325:E325"/>
    <mergeCell ref="C285:E285"/>
    <mergeCell ref="C303:E303"/>
    <mergeCell ref="C311:E311"/>
    <mergeCell ref="C313:E313"/>
    <mergeCell ref="C318:E318"/>
    <mergeCell ref="C180:E180"/>
    <mergeCell ref="C249:E249"/>
    <mergeCell ref="C258:E258"/>
    <mergeCell ref="C267:E267"/>
    <mergeCell ref="C274:E274"/>
    <mergeCell ref="C127:E127"/>
    <mergeCell ref="C150:E150"/>
    <mergeCell ref="C161:E161"/>
    <mergeCell ref="C168:E168"/>
    <mergeCell ref="A2:A43"/>
    <mergeCell ref="A46:A54"/>
    <mergeCell ref="C45:E45"/>
    <mergeCell ref="A63:A82"/>
    <mergeCell ref="A84:A109"/>
    <mergeCell ref="A56:A61"/>
    <mergeCell ref="C55:E55"/>
    <mergeCell ref="C62:E62"/>
    <mergeCell ref="C83:E83"/>
    <mergeCell ref="C108:E108"/>
  </mergeCells>
  <phoneticPr fontId="15" type="noConversion"/>
  <printOptions horizontalCentered="1"/>
  <pageMargins left="0.19685039370078741" right="0.19685039370078738" top="0" bottom="0.3543307086614173" header="0" footer="0"/>
  <pageSetup paperSize="9" scale="5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DC60BCCF-290B-4A50-BA03-05AA9C369AF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137D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pc</dc:creator>
  <cp:lastModifiedBy>Pc</cp:lastModifiedBy>
  <cp:lastPrinted>2025-06-18T11:37:47Z</cp:lastPrinted>
  <dcterms:created xsi:type="dcterms:W3CDTF">2020-08-24T20:14:22Z</dcterms:created>
  <dcterms:modified xsi:type="dcterms:W3CDTF">2026-10-15T02:15:43Z</dcterms:modified>
</cp:coreProperties>
</file>