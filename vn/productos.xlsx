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PlatformIO\Projects\Dist_Ruby\Catalogo_VN\"/>
    </mc:Choice>
  </mc:AlternateContent>
  <bookViews>
    <workbookView xWindow="0" yWindow="0" windowWidth="2370" windowHeight="0"/>
  </bookViews>
  <sheets>
    <sheet name="VN 8-23" sheetId="1" r:id="rId1"/>
  </sheets>
  <definedNames>
    <definedName name="_xlnm._FilterDatabase" localSheetId="0" hidden="1">'VN 8-23'!$B$1:$M$25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6" i="1" l="1"/>
  <c r="O7" i="1"/>
  <c r="O10" i="1"/>
  <c r="O3" i="1"/>
  <c r="O8" i="1"/>
  <c r="O5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4" i="1"/>
  <c r="N6" i="1"/>
  <c r="N7" i="1"/>
  <c r="N10" i="1"/>
  <c r="N3" i="1"/>
  <c r="N8" i="1"/>
  <c r="N5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4" i="1"/>
  <c r="J23" i="1" l="1"/>
  <c r="J22" i="1"/>
  <c r="J21" i="1"/>
  <c r="J15" i="1" l="1"/>
  <c r="J20" i="1"/>
  <c r="J19" i="1"/>
  <c r="J18" i="1"/>
  <c r="J16" i="1"/>
  <c r="J17" i="1"/>
  <c r="J14" i="1"/>
  <c r="J13" i="1"/>
  <c r="J12" i="1"/>
  <c r="J11" i="1"/>
  <c r="J9" i="1"/>
  <c r="J5" i="1"/>
  <c r="J10" i="1"/>
  <c r="J8" i="1"/>
  <c r="J7" i="1"/>
  <c r="J6" i="1"/>
  <c r="J3" i="1"/>
  <c r="J4" i="1" l="1"/>
</calcChain>
</file>

<file path=xl/sharedStrings.xml><?xml version="1.0" encoding="utf-8"?>
<sst xmlns="http://schemas.openxmlformats.org/spreadsheetml/2006/main" count="117" uniqueCount="61">
  <si>
    <t>Marca</t>
  </si>
  <si>
    <t>Cod_art</t>
  </si>
  <si>
    <t>EAN</t>
  </si>
  <si>
    <t>UxB</t>
  </si>
  <si>
    <t>Precio S/IVA</t>
  </si>
  <si>
    <t>Precio C/IVA</t>
  </si>
  <si>
    <t>Pomo</t>
  </si>
  <si>
    <t>Categoría</t>
  </si>
  <si>
    <t>Pie de FC</t>
  </si>
  <si>
    <t>Presentación</t>
  </si>
  <si>
    <t>Botella</t>
  </si>
  <si>
    <t>Solares</t>
  </si>
  <si>
    <t>Spray</t>
  </si>
  <si>
    <t>Pote</t>
  </si>
  <si>
    <t>Descripción</t>
  </si>
  <si>
    <t>7793008017950</t>
  </si>
  <si>
    <t>VN</t>
  </si>
  <si>
    <t>7793008018018</t>
  </si>
  <si>
    <t>7793008017967</t>
  </si>
  <si>
    <t>7793008017981</t>
  </si>
  <si>
    <t>7793008018001</t>
  </si>
  <si>
    <t>7793008017998</t>
  </si>
  <si>
    <t>7793008018025</t>
  </si>
  <si>
    <t>7793008018032</t>
  </si>
  <si>
    <t>7793008018087</t>
  </si>
  <si>
    <t>Aerosol</t>
  </si>
  <si>
    <t>7793008018094</t>
  </si>
  <si>
    <t>7793008018063</t>
  </si>
  <si>
    <t>7793008018070</t>
  </si>
  <si>
    <t>7793008018100</t>
  </si>
  <si>
    <t>7793008018049</t>
  </si>
  <si>
    <t>7793008018056</t>
  </si>
  <si>
    <t>7793008018117</t>
  </si>
  <si>
    <t>7793008018124</t>
  </si>
  <si>
    <t>7793008018131</t>
  </si>
  <si>
    <t>PROTECTOR SOLAR VN FPS 30  50 ML</t>
  </si>
  <si>
    <t>PROTECTOR SOLAR VN FPS 50  50 ML</t>
  </si>
  <si>
    <t>PROTECTOR SOLAR VN FPS 30  120 ml</t>
  </si>
  <si>
    <t>PROTECTOR SOLAR VN FPS 40  120 ml</t>
  </si>
  <si>
    <t>PROTECTOR SOLAR VN FPS 50  120 ml</t>
  </si>
  <si>
    <t>PROTECTOR SOLAR VN FPS 60 BABY &amp; KIDS  120 ml</t>
  </si>
  <si>
    <t>PROT SOL FAMILIAR VN FPS 30  250 ml</t>
  </si>
  <si>
    <t>PROT SOL FAMILIAR VN FPS 50  250 ml</t>
  </si>
  <si>
    <t>PROT SOLAR AEROSOL VN FPS30  250 ML</t>
  </si>
  <si>
    <t>PROT SOLAR AEROSOL VN FPS50  250 ML</t>
  </si>
  <si>
    <t>PROT SOLAR DRY FEEL VN FPS 30  190 ml</t>
  </si>
  <si>
    <t>PROT SOLAR DRY FEEL VN FPS 50  190 ml</t>
  </si>
  <si>
    <t>PROT SOL EMULSION SPRAY VN FPS 30  190 ml</t>
  </si>
  <si>
    <t>PROT SOL EMULSION SPRAY VN FPS 50  190 ml</t>
  </si>
  <si>
    <t>ACEITE SOLAR VN FPS 10  190 ML</t>
  </si>
  <si>
    <t>AUTOBRONCEANT  VN  220ML</t>
  </si>
  <si>
    <t>CREMA SAPOLAN VN  200 ML</t>
  </si>
  <si>
    <t>GEL POST SOLAR VN ALOE  150 gr</t>
  </si>
  <si>
    <t>PROTECTOR FACIAL VN FPS 50  x 50ml TONO MEDIO</t>
  </si>
  <si>
    <t>PROTECTOR FACIAL VN FPS 50  x 50ml TONO CLARO</t>
  </si>
  <si>
    <t xml:space="preserve">PROTECTOR FACIAL VN FPS 50  x 50ml </t>
  </si>
  <si>
    <t>Vigencia: a partir de AGOSTO-2026</t>
  </si>
  <si>
    <t xml:space="preserve">LISTA SOLARES AGOSTO 2026 JDM DISTRIBUCIONES </t>
  </si>
  <si>
    <t>Precio</t>
  </si>
  <si>
    <t>Aumento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</si>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</sst>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_(&quot;$&quot;* #,##0.0_);_(&quot;$&quot;* \(#,##0.0\);_(&quot;$&quot;* &quot;-&quot;??_);_(@_)"/>
    <numFmt numFmtId="166" formatCode="0.0%"/>
    <numFmt numFmtId="167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8"/>
      <color rgb="FFFF0000"/>
      <name val="Arial"/>
      <family val="2"/>
    </font>
    <font>
      <b/>
      <sz val="18"/>
      <color theme="1"/>
      <name val="Arial Rounded MT Bold"/>
      <family val="2"/>
    </font>
    <font>
      <sz val="9"/>
      <color rgb="FF000000"/>
      <name val="Arial"/>
      <family val="2"/>
    </font>
    <font>
      <b/>
      <sz val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1" xfId="0" applyFont="1" applyBorder="1" applyAlignment="1" applyProtection="1">
      <alignment horizontal="center" vertical="center"/>
    </xf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3" fillId="0" borderId="3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9" fontId="4" fillId="0" borderId="0" xfId="10" applyFont="1" applyAlignment="1">
      <alignment vertical="center"/>
    </xf>
    <xf numFmtId="9" fontId="4" fillId="0" borderId="0" xfId="10" applyFont="1"/>
    <xf numFmtId="0" fontId="9" fillId="2" borderId="0" xfId="0" applyFont="1" applyFill="1" applyAlignment="1">
      <alignment vertical="center" wrapText="1"/>
    </xf>
    <xf numFmtId="0" fontId="3" fillId="0" borderId="1" xfId="0" applyFont="1" applyBorder="1" applyAlignment="1" applyProtection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9" fontId="4" fillId="0" borderId="0" xfId="10" applyFont="1" applyFill="1" applyAlignment="1">
      <alignment vertical="center"/>
    </xf>
    <xf numFmtId="0" fontId="3" fillId="0" borderId="5" xfId="0" applyFont="1" applyBorder="1" applyAlignment="1" applyProtection="1">
      <alignment horizontal="center" vertical="center"/>
    </xf>
    <xf numFmtId="44" fontId="3" fillId="0" borderId="4" xfId="2" applyNumberFormat="1" applyFont="1" applyFill="1" applyBorder="1" applyAlignment="1">
      <alignment horizontal="right" vertical="center"/>
    </xf>
    <xf numFmtId="44" fontId="3" fillId="0" borderId="1" xfId="2" applyNumberFormat="1" applyFont="1" applyFill="1" applyBorder="1" applyAlignment="1">
      <alignment horizontal="right" vertical="center"/>
    </xf>
    <xf numFmtId="44" fontId="3" fillId="0" borderId="7" xfId="2" applyNumberFormat="1" applyFont="1" applyFill="1" applyBorder="1" applyAlignment="1">
      <alignment horizontal="right" vertical="center"/>
    </xf>
    <xf numFmtId="167" fontId="3" fillId="0" borderId="1" xfId="2" applyNumberFormat="1" applyFont="1" applyFill="1" applyBorder="1" applyAlignment="1">
      <alignment horizontal="right" vertical="center"/>
    </xf>
    <xf numFmtId="167" fontId="3" fillId="0" borderId="6" xfId="2" applyNumberFormat="1" applyFont="1" applyFill="1" applyBorder="1" applyAlignment="1">
      <alignment horizontal="right" vertical="center"/>
    </xf>
    <xf numFmtId="49" fontId="8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vertical="center"/>
    </xf>
    <xf numFmtId="0" fontId="3" fillId="2" borderId="5" xfId="0" applyFont="1" applyFill="1" applyBorder="1" applyAlignment="1" applyProtection="1">
      <alignment horizontal="center" vertical="center"/>
    </xf>
    <xf numFmtId="44" fontId="3" fillId="2" borderId="7" xfId="2" applyNumberFormat="1" applyFont="1" applyFill="1" applyBorder="1" applyAlignment="1">
      <alignment horizontal="right" vertical="center"/>
    </xf>
    <xf numFmtId="167" fontId="3" fillId="2" borderId="6" xfId="2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166" fontId="3" fillId="2" borderId="3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1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vertical="center"/>
    </xf>
    <xf numFmtId="0" fontId="3" fillId="2" borderId="9" xfId="0" applyFont="1" applyFill="1" applyBorder="1" applyAlignment="1" applyProtection="1">
      <alignment horizontal="center" vertical="center"/>
    </xf>
    <xf numFmtId="44" fontId="3" fillId="2" borderId="10" xfId="2" applyNumberFormat="1" applyFont="1" applyFill="1" applyBorder="1" applyAlignment="1">
      <alignment horizontal="right" vertical="center"/>
    </xf>
    <xf numFmtId="167" fontId="3" fillId="2" borderId="11" xfId="2" applyNumberFormat="1" applyFont="1" applyFill="1" applyBorder="1" applyAlignment="1">
      <alignment horizontal="right" vertical="center"/>
    </xf>
    <xf numFmtId="166" fontId="3" fillId="2" borderId="4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65" fontId="6" fillId="3" borderId="1" xfId="2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vertical="center"/>
    </xf>
    <xf numFmtId="0" fontId="3" fillId="7" borderId="1" xfId="0" applyFont="1" applyFill="1" applyBorder="1" applyAlignment="1" applyProtection="1">
      <alignment horizontal="center" vertical="center"/>
    </xf>
    <xf numFmtId="0" fontId="3" fillId="7" borderId="1" xfId="0" applyFont="1" applyFill="1" applyBorder="1" applyAlignment="1" applyProtection="1">
      <alignment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4" fillId="9" borderId="0" xfId="0" applyFont="1" applyFill="1"/>
  </cellXfs>
  <cellStyles count="11">
    <cellStyle name="Millares 2" xfId="3"/>
    <cellStyle name="Millares 2 2" xfId="5"/>
    <cellStyle name="Millares 3" xfId="4"/>
    <cellStyle name="Millares 4" xfId="7"/>
    <cellStyle name="Moneda" xfId="2" builtinId="4"/>
    <cellStyle name="Moneda 2" xfId="6"/>
    <cellStyle name="Moneda 2 2" xfId="9"/>
    <cellStyle name="Moneda 3" xfId="8"/>
    <cellStyle name="Normal" xfId="0" builtinId="0"/>
    <cellStyle name="Normal 2" xfId="1"/>
    <cellStyle name="Porcentaje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2"/>
  <sheetViews>
    <sheetView showGridLines="0" tabSelected="1" zoomScale="80" zoomScaleNormal="80" workbookViewId="0">
      <pane ySplit="2" topLeftCell="A3" activePane="bottomLeft" state="frozen"/>
      <selection pane="bottomLeft" activeCell="O27" sqref="O27"/>
    </sheetView>
  </sheetViews>
  <sheetFormatPr baseColWidth="10" defaultColWidth="11.42578125" defaultRowHeight="12" x14ac:dyDescent="0.2"/>
  <cols>
    <col min="1" max="1" width="11.42578125" style="4"/>
    <col min="2" max="2" width="12.7109375" style="8" customWidth="1"/>
    <col min="3" max="3" width="15.28515625" style="4" customWidth="1"/>
    <col min="4" max="4" width="16.7109375" style="4" bestFit="1" customWidth="1"/>
    <col min="5" max="5" width="9.5703125" style="7" bestFit="1" customWidth="1"/>
    <col min="6" max="6" width="14.85546875" style="8" customWidth="1"/>
    <col min="7" max="7" width="52.28515625" style="4" customWidth="1"/>
    <col min="8" max="8" width="6.5703125" style="9" customWidth="1"/>
    <col min="9" max="9" width="13.5703125" style="6" customWidth="1"/>
    <col min="10" max="10" width="11.5703125" style="6" customWidth="1"/>
    <col min="11" max="11" width="1.28515625" style="6" customWidth="1"/>
    <col min="12" max="12" width="8.140625" style="4" customWidth="1"/>
    <col min="13" max="13" width="1.28515625" style="17" customWidth="1"/>
    <col min="14" max="16384" width="11.42578125" style="4"/>
  </cols>
  <sheetData>
    <row r="1" spans="1:15" ht="36.75" customHeight="1" x14ac:dyDescent="0.2">
      <c r="B1" s="23" t="s">
        <v>57</v>
      </c>
      <c r="C1" s="18"/>
      <c r="D1" s="18"/>
      <c r="E1" s="18"/>
      <c r="F1" s="18"/>
      <c r="G1" s="18"/>
      <c r="H1" s="56" t="s">
        <v>59</v>
      </c>
      <c r="I1" s="56"/>
      <c r="J1" s="51">
        <v>1.3</v>
      </c>
      <c r="K1" s="18"/>
      <c r="L1" s="18"/>
    </row>
    <row r="2" spans="1:15" s="3" customFormat="1" ht="24" x14ac:dyDescent="0.25">
      <c r="B2" s="53" t="s">
        <v>1</v>
      </c>
      <c r="C2" s="1" t="s">
        <v>2</v>
      </c>
      <c r="D2" s="53" t="s">
        <v>7</v>
      </c>
      <c r="E2" s="1" t="s">
        <v>0</v>
      </c>
      <c r="F2" s="53" t="s">
        <v>9</v>
      </c>
      <c r="G2" s="53" t="s">
        <v>14</v>
      </c>
      <c r="H2" s="13" t="s">
        <v>3</v>
      </c>
      <c r="I2" s="14" t="s">
        <v>4</v>
      </c>
      <c r="J2" s="14" t="s">
        <v>5</v>
      </c>
      <c r="K2" s="15"/>
      <c r="L2" s="2" t="s">
        <v>8</v>
      </c>
      <c r="M2" s="16"/>
      <c r="N2" s="54" t="s">
        <v>58</v>
      </c>
      <c r="O2" s="55" t="s">
        <v>60</v>
      </c>
    </row>
    <row r="3" spans="1:15" s="3" customFormat="1" ht="15" customHeight="1" x14ac:dyDescent="0.25">
      <c r="A3" s="3">
        <v>1</v>
      </c>
      <c r="B3" s="12">
        <v>40038872</v>
      </c>
      <c r="C3" s="20" t="s">
        <v>17</v>
      </c>
      <c r="D3" s="20" t="s">
        <v>11</v>
      </c>
      <c r="E3" s="5" t="s">
        <v>16</v>
      </c>
      <c r="F3" s="58" t="s">
        <v>6</v>
      </c>
      <c r="G3" s="19" t="s">
        <v>35</v>
      </c>
      <c r="H3" s="5">
        <v>12</v>
      </c>
      <c r="I3" s="26">
        <v>4802.6499999999996</v>
      </c>
      <c r="J3" s="29">
        <f>+I3*1.21</f>
        <v>5811.2064999999993</v>
      </c>
      <c r="K3" s="11"/>
      <c r="L3" s="10">
        <v>0.15</v>
      </c>
      <c r="M3" s="24"/>
      <c r="N3" s="52">
        <f>+I3*$J$1</f>
        <v>6243.4449999999997</v>
      </c>
      <c r="O3" s="57">
        <f>+B3</f>
        <v>40038872</v>
      </c>
    </row>
    <row r="4" spans="1:15" s="3" customFormat="1" ht="15" customHeight="1" x14ac:dyDescent="0.25">
      <c r="A4" s="3">
        <v>2</v>
      </c>
      <c r="B4" s="12">
        <v>40038866</v>
      </c>
      <c r="C4" s="20" t="s">
        <v>15</v>
      </c>
      <c r="D4" s="20" t="s">
        <v>11</v>
      </c>
      <c r="E4" s="5" t="s">
        <v>16</v>
      </c>
      <c r="F4" s="58" t="s">
        <v>6</v>
      </c>
      <c r="G4" s="19" t="s">
        <v>37</v>
      </c>
      <c r="H4" s="5">
        <v>12</v>
      </c>
      <c r="I4" s="26">
        <v>7303.8</v>
      </c>
      <c r="J4" s="29">
        <f>+I4*1.21</f>
        <v>8837.598</v>
      </c>
      <c r="K4" s="11"/>
      <c r="L4" s="10">
        <v>0.15</v>
      </c>
      <c r="M4" s="24"/>
      <c r="N4" s="52">
        <f>+I4*$J$1</f>
        <v>9494.94</v>
      </c>
      <c r="O4" s="57">
        <f>+B4</f>
        <v>40038866</v>
      </c>
    </row>
    <row r="5" spans="1:15" s="3" customFormat="1" ht="15.75" customHeight="1" x14ac:dyDescent="0.25">
      <c r="A5" s="3">
        <v>3</v>
      </c>
      <c r="B5" s="12">
        <v>40038873</v>
      </c>
      <c r="C5" s="20" t="s">
        <v>22</v>
      </c>
      <c r="D5" s="20" t="s">
        <v>11</v>
      </c>
      <c r="E5" s="5" t="s">
        <v>16</v>
      </c>
      <c r="F5" s="58" t="s">
        <v>6</v>
      </c>
      <c r="G5" s="19" t="s">
        <v>41</v>
      </c>
      <c r="H5" s="5">
        <v>12</v>
      </c>
      <c r="I5" s="26">
        <v>11846.56</v>
      </c>
      <c r="J5" s="29">
        <f>+I5*1.21</f>
        <v>14334.337599999999</v>
      </c>
      <c r="K5" s="11"/>
      <c r="L5" s="10">
        <v>0.15</v>
      </c>
      <c r="M5" s="24"/>
      <c r="N5" s="52">
        <f>+I5*$J$1</f>
        <v>15400.528</v>
      </c>
      <c r="O5" s="57">
        <f>+B5</f>
        <v>40038873</v>
      </c>
    </row>
    <row r="6" spans="1:15" s="3" customFormat="1" ht="15" customHeight="1" x14ac:dyDescent="0.25">
      <c r="A6" s="3">
        <v>4</v>
      </c>
      <c r="B6" s="12">
        <v>40038867</v>
      </c>
      <c r="C6" s="20" t="s">
        <v>18</v>
      </c>
      <c r="D6" s="20" t="s">
        <v>11</v>
      </c>
      <c r="E6" s="5" t="s">
        <v>16</v>
      </c>
      <c r="F6" s="58" t="s">
        <v>6</v>
      </c>
      <c r="G6" s="19" t="s">
        <v>38</v>
      </c>
      <c r="H6" s="5">
        <v>12</v>
      </c>
      <c r="I6" s="26">
        <v>7732.36</v>
      </c>
      <c r="J6" s="29">
        <f>+I6*1.21</f>
        <v>9356.1556</v>
      </c>
      <c r="K6" s="11"/>
      <c r="L6" s="10">
        <v>0.15</v>
      </c>
      <c r="M6" s="24"/>
      <c r="N6" s="52">
        <f>+I6*$J$1</f>
        <v>10052.067999999999</v>
      </c>
      <c r="O6" s="57">
        <f>+B6</f>
        <v>40038867</v>
      </c>
    </row>
    <row r="7" spans="1:15" s="3" customFormat="1" ht="15.75" customHeight="1" x14ac:dyDescent="0.25">
      <c r="A7" s="3">
        <v>5</v>
      </c>
      <c r="B7" s="12">
        <v>40038869</v>
      </c>
      <c r="C7" s="20" t="s">
        <v>19</v>
      </c>
      <c r="D7" s="20" t="s">
        <v>11</v>
      </c>
      <c r="E7" s="5" t="s">
        <v>16</v>
      </c>
      <c r="F7" s="58" t="s">
        <v>6</v>
      </c>
      <c r="G7" s="19" t="s">
        <v>39</v>
      </c>
      <c r="H7" s="5">
        <v>12</v>
      </c>
      <c r="I7" s="26">
        <v>8100</v>
      </c>
      <c r="J7" s="29">
        <f>+I7*1.21</f>
        <v>9801</v>
      </c>
      <c r="K7" s="11"/>
      <c r="L7" s="10">
        <v>0.15</v>
      </c>
      <c r="M7" s="24"/>
      <c r="N7" s="52">
        <f>+I7*$J$1</f>
        <v>10530</v>
      </c>
      <c r="O7" s="57">
        <f>+B7</f>
        <v>40038869</v>
      </c>
    </row>
    <row r="8" spans="1:15" s="3" customFormat="1" ht="14.25" customHeight="1" x14ac:dyDescent="0.25">
      <c r="A8" s="3">
        <v>6</v>
      </c>
      <c r="B8" s="12">
        <v>40038871</v>
      </c>
      <c r="C8" s="20" t="s">
        <v>20</v>
      </c>
      <c r="D8" s="20" t="s">
        <v>11</v>
      </c>
      <c r="E8" s="5" t="s">
        <v>16</v>
      </c>
      <c r="F8" s="58" t="s">
        <v>6</v>
      </c>
      <c r="G8" s="19" t="s">
        <v>36</v>
      </c>
      <c r="H8" s="5">
        <v>12</v>
      </c>
      <c r="I8" s="26">
        <v>5282.96</v>
      </c>
      <c r="J8" s="29">
        <f>+I8*1.21</f>
        <v>6392.3815999999997</v>
      </c>
      <c r="K8" s="11"/>
      <c r="L8" s="10">
        <v>0.15</v>
      </c>
      <c r="M8" s="24"/>
      <c r="N8" s="52">
        <f>+I8*$J$1</f>
        <v>6867.848</v>
      </c>
      <c r="O8" s="57">
        <f>+B8</f>
        <v>40038871</v>
      </c>
    </row>
    <row r="9" spans="1:15" s="3" customFormat="1" ht="14.25" customHeight="1" x14ac:dyDescent="0.25">
      <c r="A9" s="3">
        <v>7</v>
      </c>
      <c r="B9" s="12">
        <v>40038874</v>
      </c>
      <c r="C9" s="20" t="s">
        <v>23</v>
      </c>
      <c r="D9" s="20" t="s">
        <v>11</v>
      </c>
      <c r="E9" s="5" t="s">
        <v>16</v>
      </c>
      <c r="F9" s="58" t="s">
        <v>6</v>
      </c>
      <c r="G9" s="19" t="s">
        <v>42</v>
      </c>
      <c r="H9" s="5">
        <v>12</v>
      </c>
      <c r="I9" s="26">
        <v>13031.3</v>
      </c>
      <c r="J9" s="29">
        <f>+I9*1.21</f>
        <v>15767.872999999998</v>
      </c>
      <c r="K9" s="11"/>
      <c r="L9" s="10">
        <v>0.15</v>
      </c>
      <c r="M9" s="24"/>
      <c r="N9" s="52">
        <f>+I9*$J$1</f>
        <v>16940.689999999999</v>
      </c>
      <c r="O9" s="57">
        <f>+B9</f>
        <v>40038874</v>
      </c>
    </row>
    <row r="10" spans="1:15" s="3" customFormat="1" ht="14.25" customHeight="1" x14ac:dyDescent="0.25">
      <c r="A10" s="3">
        <v>8</v>
      </c>
      <c r="B10" s="12">
        <v>40038870</v>
      </c>
      <c r="C10" s="20" t="s">
        <v>21</v>
      </c>
      <c r="D10" s="20" t="s">
        <v>11</v>
      </c>
      <c r="E10" s="5" t="s">
        <v>16</v>
      </c>
      <c r="F10" s="58" t="s">
        <v>6</v>
      </c>
      <c r="G10" s="19" t="s">
        <v>40</v>
      </c>
      <c r="H10" s="5">
        <v>12</v>
      </c>
      <c r="I10" s="26">
        <v>9605.2999999999993</v>
      </c>
      <c r="J10" s="29">
        <f>+I10*1.21</f>
        <v>11622.412999999999</v>
      </c>
      <c r="K10" s="11"/>
      <c r="L10" s="10">
        <v>0.15</v>
      </c>
      <c r="M10" s="24"/>
      <c r="N10" s="52">
        <f>+I10*$J$1</f>
        <v>12486.89</v>
      </c>
      <c r="O10" s="57">
        <f>+B10</f>
        <v>40038870</v>
      </c>
    </row>
    <row r="11" spans="1:15" s="3" customFormat="1" ht="15" customHeight="1" x14ac:dyDescent="0.25">
      <c r="A11" s="3">
        <v>9</v>
      </c>
      <c r="B11" s="12">
        <v>40038709</v>
      </c>
      <c r="C11" s="20" t="s">
        <v>24</v>
      </c>
      <c r="D11" s="20" t="s">
        <v>11</v>
      </c>
      <c r="E11" s="5" t="s">
        <v>16</v>
      </c>
      <c r="F11" s="59" t="s">
        <v>25</v>
      </c>
      <c r="G11" s="60" t="s">
        <v>43</v>
      </c>
      <c r="H11" s="5">
        <v>12</v>
      </c>
      <c r="I11" s="26">
        <v>18250.22</v>
      </c>
      <c r="J11" s="29">
        <f>+I11*1.21</f>
        <v>22082.766200000002</v>
      </c>
      <c r="K11" s="11"/>
      <c r="L11" s="10">
        <v>0.15</v>
      </c>
      <c r="M11" s="24"/>
      <c r="N11" s="52">
        <f>+I11*$J$1</f>
        <v>23725.286000000004</v>
      </c>
      <c r="O11" s="63">
        <f>+B11</f>
        <v>40038709</v>
      </c>
    </row>
    <row r="12" spans="1:15" s="3" customFormat="1" ht="15" customHeight="1" x14ac:dyDescent="0.25">
      <c r="A12" s="3">
        <v>10</v>
      </c>
      <c r="B12" s="12">
        <v>40038710</v>
      </c>
      <c r="C12" s="20" t="s">
        <v>26</v>
      </c>
      <c r="D12" s="20" t="s">
        <v>11</v>
      </c>
      <c r="E12" s="5" t="s">
        <v>16</v>
      </c>
      <c r="F12" s="59" t="s">
        <v>25</v>
      </c>
      <c r="G12" s="60" t="s">
        <v>44</v>
      </c>
      <c r="H12" s="5">
        <v>12</v>
      </c>
      <c r="I12" s="26">
        <v>20075.22</v>
      </c>
      <c r="J12" s="29">
        <f>+I12*1.21</f>
        <v>24291.016200000002</v>
      </c>
      <c r="K12" s="11"/>
      <c r="L12" s="10">
        <v>0.15</v>
      </c>
      <c r="M12" s="24"/>
      <c r="N12" s="52">
        <f>+I12*$J$1</f>
        <v>26097.786000000004</v>
      </c>
      <c r="O12" s="63">
        <f>+B12</f>
        <v>40038710</v>
      </c>
    </row>
    <row r="13" spans="1:15" s="3" customFormat="1" ht="15" customHeight="1" x14ac:dyDescent="0.25">
      <c r="B13" s="12">
        <v>40038490</v>
      </c>
      <c r="C13" s="20" t="s">
        <v>27</v>
      </c>
      <c r="D13" s="20" t="s">
        <v>11</v>
      </c>
      <c r="E13" s="5" t="s">
        <v>16</v>
      </c>
      <c r="F13" s="61" t="s">
        <v>12</v>
      </c>
      <c r="G13" s="62" t="s">
        <v>45</v>
      </c>
      <c r="H13" s="5">
        <v>12</v>
      </c>
      <c r="I13" s="26">
        <v>13383.52</v>
      </c>
      <c r="J13" s="29">
        <f>+I13*1.21</f>
        <v>16194.0592</v>
      </c>
      <c r="K13" s="11"/>
      <c r="L13" s="10">
        <v>0.15</v>
      </c>
      <c r="M13" s="24"/>
      <c r="N13" s="52">
        <f>+I13*$J$1</f>
        <v>17398.576000000001</v>
      </c>
      <c r="O13" s="64">
        <f>+B13</f>
        <v>40038490</v>
      </c>
    </row>
    <row r="14" spans="1:15" s="3" customFormat="1" ht="14.25" customHeight="1" x14ac:dyDescent="0.25">
      <c r="B14" s="12">
        <v>40038492</v>
      </c>
      <c r="C14" s="20" t="s">
        <v>28</v>
      </c>
      <c r="D14" s="20" t="s">
        <v>11</v>
      </c>
      <c r="E14" s="5" t="s">
        <v>16</v>
      </c>
      <c r="F14" s="61" t="s">
        <v>12</v>
      </c>
      <c r="G14" s="62" t="s">
        <v>46</v>
      </c>
      <c r="H14" s="5">
        <v>12</v>
      </c>
      <c r="I14" s="26">
        <v>14728.2</v>
      </c>
      <c r="J14" s="29">
        <f>+I14*1.21</f>
        <v>17821.121999999999</v>
      </c>
      <c r="K14" s="11"/>
      <c r="L14" s="10">
        <v>0.15</v>
      </c>
      <c r="M14" s="24"/>
      <c r="N14" s="52">
        <f>+I14*$J$1</f>
        <v>19146.66</v>
      </c>
      <c r="O14" s="64">
        <f>+B14</f>
        <v>40038492</v>
      </c>
    </row>
    <row r="15" spans="1:15" s="3" customFormat="1" ht="15.75" customHeight="1" x14ac:dyDescent="0.25">
      <c r="B15" s="12">
        <v>40038875</v>
      </c>
      <c r="C15" s="20" t="s">
        <v>30</v>
      </c>
      <c r="D15" s="20" t="s">
        <v>11</v>
      </c>
      <c r="E15" s="5" t="s">
        <v>16</v>
      </c>
      <c r="F15" s="61" t="s">
        <v>12</v>
      </c>
      <c r="G15" s="62" t="s">
        <v>47</v>
      </c>
      <c r="H15" s="5">
        <v>12</v>
      </c>
      <c r="I15" s="26">
        <v>9861.5</v>
      </c>
      <c r="J15" s="29">
        <f>+I15*1.21</f>
        <v>11932.414999999999</v>
      </c>
      <c r="K15" s="11"/>
      <c r="L15" s="10">
        <v>0.15</v>
      </c>
      <c r="M15" s="24"/>
      <c r="N15" s="52">
        <f>+I15*$J$1</f>
        <v>12819.95</v>
      </c>
      <c r="O15" s="64">
        <f>+B15</f>
        <v>40038875</v>
      </c>
    </row>
    <row r="16" spans="1:15" s="3" customFormat="1" ht="15" customHeight="1" x14ac:dyDescent="0.25">
      <c r="B16" s="12">
        <v>40038876</v>
      </c>
      <c r="C16" s="20" t="s">
        <v>31</v>
      </c>
      <c r="D16" s="20" t="s">
        <v>11</v>
      </c>
      <c r="E16" s="5" t="s">
        <v>16</v>
      </c>
      <c r="F16" s="61" t="s">
        <v>12</v>
      </c>
      <c r="G16" s="62" t="s">
        <v>48</v>
      </c>
      <c r="H16" s="5">
        <v>12</v>
      </c>
      <c r="I16" s="26">
        <v>10822.01</v>
      </c>
      <c r="J16" s="29">
        <f>+I16*1.21</f>
        <v>13094.632100000001</v>
      </c>
      <c r="K16" s="11"/>
      <c r="L16" s="10">
        <v>0.15</v>
      </c>
      <c r="M16" s="24"/>
      <c r="N16" s="52">
        <f>+I16*$J$1</f>
        <v>14068.613000000001</v>
      </c>
      <c r="O16" s="64">
        <f>+B16</f>
        <v>40038876</v>
      </c>
    </row>
    <row r="17" spans="2:15" s="3" customFormat="1" ht="14.25" customHeight="1" x14ac:dyDescent="0.25">
      <c r="B17" s="12">
        <v>40038881</v>
      </c>
      <c r="C17" s="20" t="s">
        <v>29</v>
      </c>
      <c r="D17" s="20" t="s">
        <v>11</v>
      </c>
      <c r="E17" s="5" t="s">
        <v>16</v>
      </c>
      <c r="F17" s="5" t="s">
        <v>10</v>
      </c>
      <c r="G17" s="19" t="s">
        <v>49</v>
      </c>
      <c r="H17" s="5">
        <v>12</v>
      </c>
      <c r="I17" s="26">
        <v>10373.780000000001</v>
      </c>
      <c r="J17" s="29">
        <f>+I17*1.21</f>
        <v>12552.273800000001</v>
      </c>
      <c r="K17" s="11"/>
      <c r="L17" s="10">
        <v>0.15</v>
      </c>
      <c r="M17" s="24"/>
      <c r="N17" s="52">
        <f>+I17*$J$1</f>
        <v>13485.914000000001</v>
      </c>
      <c r="O17" s="3">
        <f>+B17</f>
        <v>40038881</v>
      </c>
    </row>
    <row r="18" spans="2:15" s="3" customFormat="1" ht="12.75" customHeight="1" x14ac:dyDescent="0.25">
      <c r="B18" s="12">
        <v>40038883</v>
      </c>
      <c r="C18" s="20" t="s">
        <v>32</v>
      </c>
      <c r="D18" s="20" t="s">
        <v>11</v>
      </c>
      <c r="E18" s="5" t="s">
        <v>16</v>
      </c>
      <c r="F18" s="5" t="s">
        <v>10</v>
      </c>
      <c r="G18" s="19" t="s">
        <v>50</v>
      </c>
      <c r="H18" s="5">
        <v>12</v>
      </c>
      <c r="I18" s="26">
        <v>10373.780000000001</v>
      </c>
      <c r="J18" s="29">
        <f>+I18*1.21</f>
        <v>12552.273800000001</v>
      </c>
      <c r="K18" s="11"/>
      <c r="L18" s="10">
        <v>0.15</v>
      </c>
      <c r="M18" s="24"/>
      <c r="N18" s="52">
        <f>+I18*$J$1</f>
        <v>13485.914000000001</v>
      </c>
      <c r="O18" s="64">
        <f>+B18</f>
        <v>40038883</v>
      </c>
    </row>
    <row r="19" spans="2:15" s="3" customFormat="1" ht="15" customHeight="1" x14ac:dyDescent="0.25">
      <c r="B19" s="12">
        <v>40038880</v>
      </c>
      <c r="C19" s="20" t="s">
        <v>33</v>
      </c>
      <c r="D19" s="20" t="s">
        <v>11</v>
      </c>
      <c r="E19" s="5" t="s">
        <v>16</v>
      </c>
      <c r="F19" s="5" t="s">
        <v>13</v>
      </c>
      <c r="G19" s="19" t="s">
        <v>51</v>
      </c>
      <c r="H19" s="25">
        <v>12</v>
      </c>
      <c r="I19" s="27">
        <v>6531.63</v>
      </c>
      <c r="J19" s="30">
        <f>+I19*1.21</f>
        <v>7903.2722999999996</v>
      </c>
      <c r="K19" s="11"/>
      <c r="L19" s="10">
        <v>0.15</v>
      </c>
      <c r="M19" s="24"/>
      <c r="N19" s="52">
        <f>+I19*$J$1</f>
        <v>8491.1190000000006</v>
      </c>
      <c r="O19" s="64">
        <f>+B19</f>
        <v>40038880</v>
      </c>
    </row>
    <row r="20" spans="2:15" s="3" customFormat="1" ht="15" customHeight="1" x14ac:dyDescent="0.25">
      <c r="B20" s="12">
        <v>40038877</v>
      </c>
      <c r="C20" s="20" t="s">
        <v>34</v>
      </c>
      <c r="D20" s="20" t="s">
        <v>11</v>
      </c>
      <c r="E20" s="5" t="s">
        <v>16</v>
      </c>
      <c r="F20" s="5" t="s">
        <v>6</v>
      </c>
      <c r="G20" s="19" t="s">
        <v>52</v>
      </c>
      <c r="H20" s="25">
        <v>12</v>
      </c>
      <c r="I20" s="28">
        <v>8708.84</v>
      </c>
      <c r="J20" s="30">
        <f>+I20*1.21</f>
        <v>10537.696400000001</v>
      </c>
      <c r="K20" s="11"/>
      <c r="L20" s="10">
        <v>0.15</v>
      </c>
      <c r="M20" s="24"/>
      <c r="N20" s="52">
        <f>+I20*$J$1</f>
        <v>11321.492</v>
      </c>
      <c r="O20" s="64">
        <f>+B20</f>
        <v>40038877</v>
      </c>
    </row>
    <row r="21" spans="2:15" s="3" customFormat="1" ht="15" customHeight="1" x14ac:dyDescent="0.25">
      <c r="B21" s="34">
        <v>40043579</v>
      </c>
      <c r="C21" s="35">
        <v>7793008020332</v>
      </c>
      <c r="D21" s="35" t="s">
        <v>11</v>
      </c>
      <c r="E21" s="36" t="s">
        <v>16</v>
      </c>
      <c r="F21" s="36" t="s">
        <v>6</v>
      </c>
      <c r="G21" s="37" t="s">
        <v>53</v>
      </c>
      <c r="H21" s="38">
        <v>5</v>
      </c>
      <c r="I21" s="39">
        <v>13720</v>
      </c>
      <c r="J21" s="40">
        <f>+I21*1.21</f>
        <v>16601.2</v>
      </c>
      <c r="K21" s="41"/>
      <c r="L21" s="42">
        <v>0.15</v>
      </c>
      <c r="M21" s="24"/>
      <c r="N21" s="52">
        <f>+I21*$J$1</f>
        <v>17836</v>
      </c>
      <c r="O21" s="3">
        <f>+B21</f>
        <v>40043579</v>
      </c>
    </row>
    <row r="22" spans="2:15" s="3" customFormat="1" ht="12" customHeight="1" x14ac:dyDescent="0.25">
      <c r="B22" s="34">
        <v>40043580</v>
      </c>
      <c r="C22" s="35">
        <v>7793008020349</v>
      </c>
      <c r="D22" s="35" t="s">
        <v>11</v>
      </c>
      <c r="E22" s="36" t="s">
        <v>16</v>
      </c>
      <c r="F22" s="36" t="s">
        <v>6</v>
      </c>
      <c r="G22" s="37" t="s">
        <v>54</v>
      </c>
      <c r="H22" s="38">
        <v>5</v>
      </c>
      <c r="I22" s="39">
        <v>13720</v>
      </c>
      <c r="J22" s="40">
        <f>+I22*1.21</f>
        <v>16601.2</v>
      </c>
      <c r="K22" s="41"/>
      <c r="L22" s="42">
        <v>0.15</v>
      </c>
      <c r="M22" s="24"/>
      <c r="N22" s="52">
        <f>+I22*$J$1</f>
        <v>17836</v>
      </c>
      <c r="O22" s="3">
        <f>+B22</f>
        <v>40043580</v>
      </c>
    </row>
    <row r="23" spans="2:15" s="3" customFormat="1" ht="12" customHeight="1" x14ac:dyDescent="0.25">
      <c r="B23" s="43">
        <v>40043581</v>
      </c>
      <c r="C23" s="44">
        <v>7793008020356</v>
      </c>
      <c r="D23" s="44" t="s">
        <v>11</v>
      </c>
      <c r="E23" s="45" t="s">
        <v>16</v>
      </c>
      <c r="F23" s="45" t="s">
        <v>6</v>
      </c>
      <c r="G23" s="46" t="s">
        <v>55</v>
      </c>
      <c r="H23" s="47">
        <v>5</v>
      </c>
      <c r="I23" s="48">
        <v>13720</v>
      </c>
      <c r="J23" s="49">
        <f>+I23*1.21</f>
        <v>16601.2</v>
      </c>
      <c r="K23" s="41"/>
      <c r="L23" s="50">
        <v>0.15</v>
      </c>
      <c r="M23" s="24"/>
      <c r="N23" s="52">
        <f>+I23*$J$1</f>
        <v>17836</v>
      </c>
      <c r="O23" s="3">
        <f>+B23</f>
        <v>40043581</v>
      </c>
    </row>
    <row r="24" spans="2:15" s="3" customFormat="1" ht="12.75" customHeight="1" x14ac:dyDescent="0.25">
      <c r="B24" s="31" t="s">
        <v>56</v>
      </c>
      <c r="C24" s="22"/>
      <c r="D24" s="22"/>
      <c r="E24" s="32"/>
      <c r="F24" s="33"/>
      <c r="G24" s="22"/>
      <c r="H24" s="33"/>
      <c r="I24" s="22"/>
      <c r="J24" s="22"/>
      <c r="K24" s="22"/>
      <c r="L24" s="22"/>
      <c r="M24" s="16"/>
    </row>
    <row r="25" spans="2:15" s="3" customFormat="1" x14ac:dyDescent="0.25">
      <c r="B25" s="9"/>
      <c r="E25" s="21"/>
      <c r="F25" s="9"/>
      <c r="H25" s="9"/>
      <c r="I25" s="22"/>
      <c r="J25" s="22"/>
      <c r="K25" s="22"/>
      <c r="M25" s="16"/>
    </row>
    <row r="32" spans="2:15" x14ac:dyDescent="0.2">
      <c r="G32" s="65"/>
    </row>
  </sheetData>
  <sortState ref="A3:O25">
    <sortCondition ref="A3:A25"/>
  </sortState>
  <mergeCells count="1">
    <mergeCell ref="H1:I1"/>
  </mergeCells>
  <pageMargins left="0.7" right="0.7" top="0.75" bottom="0.75" header="0.3" footer="0.3"/>
  <pageSetup paperSize="9" scale="76" fitToHeight="0" orientation="landscape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VN 8-23</vt:lpstr>
    </vt:vector>
  </TitlesOfParts>
  <Company>Godrej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Susik</dc:creator>
  <cp:lastModifiedBy>Pc</cp:lastModifiedBy>
  <cp:lastPrinted>2023-08-09T11:40:37Z</cp:lastPrinted>
  <dcterms:created xsi:type="dcterms:W3CDTF">2018-09-19T14:08:13Z</dcterms:created>
  <dcterms:modified xsi:type="dcterms:W3CDTF">2026-10-04T19:05:25Z</dcterms:modified>
</cp:coreProperties>
</file>